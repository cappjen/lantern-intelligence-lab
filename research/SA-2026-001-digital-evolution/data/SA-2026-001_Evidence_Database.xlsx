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Evidence Log" sheetId="2" r:id="rId5"/>
    <sheet name="Coding Guide" sheetId="3" r:id="rId6"/>
    <sheet name="Summary" sheetId="4" r:id="rId7"/>
    <sheet name="Start Here" sheetId="5" r:id="rId8"/>
  </sheets>
</workbook>
</file>

<file path=xl/sharedStrings.xml><?xml version="1.0" encoding="utf-8"?>
<sst xmlns="http://schemas.openxmlformats.org/spreadsheetml/2006/main" uniqueCount="145">
  <si>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</si>
  <si>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</si>
  <si>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</si>
  <si>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</si>
  <si>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Evidence Log</t>
  </si>
  <si>
    <t>Table 1</t>
  </si>
  <si>
    <t>Record ID</t>
  </si>
  <si>
    <t>Source Date</t>
  </si>
  <si>
    <t>Source Title</t>
  </si>
  <si>
    <t>Publisher / Author</t>
  </si>
  <si>
    <t>Source Type</t>
  </si>
  <si>
    <t>URL</t>
  </si>
  <si>
    <t>Trafficking Type</t>
  </si>
  <si>
    <t>Topic</t>
  </si>
  <si>
    <t>Technology / Platform</t>
  </si>
  <si>
    <t>Geography</t>
  </si>
  <si>
    <t>Investigation Stage</t>
  </si>
  <si>
    <t>Key Finding</t>
  </si>
  <si>
    <t>Evidence Notes</t>
  </si>
  <si>
    <t>Confidence</t>
  </si>
  <si>
    <t>Review Status</t>
  </si>
  <si>
    <t>PDF / File Name</t>
  </si>
  <si>
    <t>Date Added</t>
  </si>
  <si>
    <t>Last Reviewed</t>
  </si>
  <si>
    <t>Use of Online Marketplaces and Virtual Currencies in Drug and Human Trafficking</t>
  </si>
  <si>
    <t>U.S. Government Accountability Office</t>
  </si>
  <si>
    <t>Government Report</t>
  </si>
  <si>
    <r>
      <rPr>
        <u val="single"/>
        <sz val="11"/>
        <color indexed="17"/>
        <rFont val="Carlito"/>
      </rPr>
      <t>https://www.gao.gov/assets/gao-22-105101.pdf</t>
    </r>
  </si>
  <si>
    <t>High</t>
  </si>
  <si>
    <t>Collected</t>
  </si>
  <si>
    <t>GAO-2022-001-online-marketplaces-virtual-currencies.pdf</t>
  </si>
  <si>
    <t>Sex Trafficking: Online Platforms and Federal Prosecutions</t>
  </si>
  <si>
    <r>
      <rPr>
        <u val="single"/>
        <sz val="11"/>
        <color indexed="17"/>
        <rFont val="Carlito"/>
      </rPr>
      <t>https://www.gao.gov/assets/gao-21-385.pdf</t>
    </r>
  </si>
  <si>
    <t>GAO-2021-002-online-platforms-federal-prosecutions.pdf</t>
  </si>
  <si>
    <t>National Strategy to Combat Human Trafficking</t>
  </si>
  <si>
    <t>U.S. Department of Justice</t>
  </si>
  <si>
    <t>Government Strategy</t>
  </si>
  <si>
    <r>
      <rPr>
        <u val="single"/>
        <sz val="11"/>
        <color indexed="17"/>
        <rFont val="Carlito"/>
      </rPr>
      <t>https://www.justice.gov/d9/press-releases/attachments/2022/01/31/doj_ht_strategy.pdf?utm_source=chatgpt.com</t>
    </r>
  </si>
  <si>
    <t>DOJ-2022-003-national-strategy.pdf</t>
  </si>
  <si>
    <t>2024-06</t>
  </si>
  <si>
    <t>2023 Federal Human Trafficking Report</t>
  </si>
  <si>
    <t>Human Trafficking Institute</t>
  </si>
  <si>
    <t>Legal Data Report</t>
  </si>
  <si>
    <r>
      <rPr>
        <u val="single"/>
        <sz val="11"/>
        <color indexed="17"/>
        <rFont val="Carlito"/>
      </rPr>
      <t>https://traffickinginstitute.org/wp-content/uploads/2024/06/2023-Federal-Human-Trafficking-Report-WEB-Spreads-LR.pdf?utm_source=chatgpt.com</t>
    </r>
  </si>
  <si>
    <t>Sex trafficking</t>
  </si>
  <si>
    <t>Recruitment</t>
  </si>
  <si>
    <t>Allegation / complaint</t>
  </si>
  <si>
    <t>High for what the dataset measures</t>
  </si>
  <si>
    <t>HTI-2024-004-federal-human-trafficking-report-2023.pdf</t>
  </si>
  <si>
    <t>National Human Trafficking Hotline: National Statistics</t>
  </si>
  <si>
    <t>National Human Trafficking Hotline</t>
  </si>
  <si>
    <t>Administrative / Hotline Data</t>
  </si>
  <si>
    <r>
      <rPr>
        <u val="single"/>
        <sz val="11"/>
        <color indexed="17"/>
        <rFont val="Carlito"/>
      </rPr>
      <t>https://humantraffickinghotline.org/en/statistics?utm_source=chatgpt.com</t>
    </r>
  </si>
  <si>
    <t>Coding Guide</t>
  </si>
  <si>
    <t>Field</t>
  </si>
  <si>
    <t>Allowed value</t>
  </si>
  <si>
    <t>Definition / use</t>
  </si>
  <si>
    <t>Federal court document</t>
  </si>
  <si>
    <t>Complaint, indictment, plea, sentencing memorandum, or judgment.</t>
  </si>
  <si>
    <t>DOJ / U.S. Attorney release</t>
  </si>
  <si>
    <t>Official federal prosecution or enforcement announcement.</t>
  </si>
  <si>
    <t>FBI resource</t>
  </si>
  <si>
    <t>Official FBI report, page, testimony, or publication.</t>
  </si>
  <si>
    <t>Government report</t>
  </si>
  <si>
    <t>Federal, state, local, or inspector general report.</t>
  </si>
  <si>
    <t>Peer-reviewed research</t>
  </si>
  <si>
    <t>Academic journal article or reviewed scholarly paper.</t>
  </si>
  <si>
    <t>NGO / hotline report</t>
  </si>
  <si>
    <t>Nonprofit, hotline, or victim-services publication.</t>
  </si>
  <si>
    <t>Investigative journalism</t>
  </si>
  <si>
    <t>Reported work from a reputable newsroom.</t>
  </si>
  <si>
    <t>Other</t>
  </si>
  <si>
    <t>Use sparingly and explain in Evidence Notes.</t>
  </si>
  <si>
    <t>Public source explicitly identifies sex trafficking.</t>
  </si>
  <si>
    <t>Labor trafficking</t>
  </si>
  <si>
    <t>Public source explicitly identifies labor trafficking.</t>
  </si>
  <si>
    <t>Both / mixed</t>
  </si>
  <si>
    <t>Source addresses both or a mixed scheme.</t>
  </si>
  <si>
    <t>Unspecified</t>
  </si>
  <si>
    <t>Source does not clearly identify the type.</t>
  </si>
  <si>
    <t>How targets or victims are identified or approached.</t>
  </si>
  <si>
    <t>Grooming / coercion</t>
  </si>
  <si>
    <t>Relationship-building, threats, manipulation, or control.</t>
  </si>
  <si>
    <t>Advertising</t>
  </si>
  <si>
    <t>Online ads or commercial promotion of exploitation.</t>
  </si>
  <si>
    <t>Payments / finance</t>
  </si>
  <si>
    <t>Payment methods, financial flows, or money movement.</t>
  </si>
  <si>
    <t>Transportation</t>
  </si>
  <si>
    <t>Movement, travel, or logistics.</t>
  </si>
  <si>
    <t>Digital evidence</t>
  </si>
  <si>
    <t>Devices, accounts, metadata, or other investigative traces.</t>
  </si>
  <si>
    <t>Employment scams</t>
  </si>
  <si>
    <t>Fraudulent or deceptive job recruitment.</t>
  </si>
  <si>
    <t>Law enforcement</t>
  </si>
  <si>
    <t>Investigative or enforcement methods and implications.</t>
  </si>
  <si>
    <t>Victim services</t>
  </si>
  <si>
    <t>Identification, support, recovery, or service access.</t>
  </si>
  <si>
    <t>Allegations filed; not yet adjudicated.</t>
  </si>
  <si>
    <t>Indictment / charges</t>
  </si>
  <si>
    <t>Criminal charges announced or unsealed.</t>
  </si>
  <si>
    <t>Plea</t>
  </si>
  <si>
    <t>Defendant entered a guilty plea.</t>
  </si>
  <si>
    <t>Conviction</t>
  </si>
  <si>
    <t>Conviction after trial or adjudication.</t>
  </si>
  <si>
    <t>Sentencing</t>
  </si>
  <si>
    <t>Sentence imposed.</t>
  </si>
  <si>
    <t>Research / non-case</t>
  </si>
  <si>
    <t>Source is analytical rather than a prosecution.</t>
  </si>
  <si>
    <t>Direct, specific evidence from a strong primary source or well-supported research.</t>
  </si>
  <si>
    <t>Moderate</t>
  </si>
  <si>
    <t>Credible evidence with some ambiguity, limitation, or indirectness.</t>
  </si>
  <si>
    <t>Low</t>
  </si>
  <si>
    <t>Limited, unclear, or weakly corroborated evidence; use cautiously.</t>
  </si>
  <si>
    <t>Logged but not yet reviewed.</t>
  </si>
  <si>
    <t>Reviewed</t>
  </si>
  <si>
    <t>Read and coded.</t>
  </si>
  <si>
    <t>Cited</t>
  </si>
  <si>
    <t>Used in a draft or published product.</t>
  </si>
  <si>
    <t>Excluded</t>
  </si>
  <si>
    <t>Reviewed but excluded; explain why in Evidence Notes.</t>
  </si>
  <si>
    <t>Summary</t>
  </si>
  <si>
    <t>SA-2026-001 Research Status</t>
  </si>
  <si>
    <t>Metric</t>
  </si>
  <si>
    <t>Count</t>
  </si>
  <si>
    <t>Sources logged</t>
  </si>
  <si>
    <t>Sources reviewed</t>
  </si>
  <si>
    <t>Sources cited</t>
  </si>
  <si>
    <t>Sources excluded</t>
  </si>
  <si>
    <t>Start Here</t>
  </si>
  <si>
    <t>SA-2026-001 Evidence Database</t>
  </si>
  <si>
    <t>Project: The Digital Evolution of Human Trafficking Recruitment</t>
  </si>
  <si>
    <t>Do this first</t>
  </si>
  <si>
    <t>Instructions</t>
  </si>
  <si>
    <t>1</t>
  </si>
  <si>
    <t>Open the Evidence Log sheet.</t>
  </si>
  <si>
    <t>2</t>
  </si>
  <si>
    <t>For the first 30 sources, fill only: Source Date, Source Title, Publisher/Author, Source Type, URL, and PDF/File Name.</t>
  </si>
  <si>
    <t>3</t>
  </si>
  <si>
    <t>Do not summarize sources yet. Leave the analytical fields blank until the review phase.</t>
  </si>
  <si>
    <t>4</t>
  </si>
  <si>
    <t>Save downloaded PDFs in research/SA-2026-001-digital-evolution/sources.</t>
  </si>
  <si>
    <t>5</t>
  </si>
  <si>
    <t>Use a consistent file name, such as DOJ-2024-001.pdf or JOURNAL-2023-001.pdf.</t>
  </si>
  <si>
    <t>6</t>
  </si>
  <si>
    <t>Commit and push the workbook and source files through GitHub Desktop.</t>
  </si>
</sst>
</file>

<file path=xl/styles.xml><?xml version="1.0" encoding="utf-8"?>
<styleSheet xmlns="http://schemas.openxmlformats.org/spreadsheetml/2006/main">
  <numFmts count="2">
    <numFmt numFmtId="0" formatCode="General"/>
    <numFmt numFmtId="59" formatCode="yyyy-mm-dd"/>
  </numFmts>
  <fonts count="15">
    <font>
      <sz val="11"/>
      <color indexed="8"/>
      <name val="Carlito"/>
    </font>
    <font>
      <sz val="12"/>
      <color indexed="8"/>
      <name val="Carlito"/>
    </font>
    <font>
      <sz val="14"/>
      <color indexed="8"/>
      <name val="Carlito"/>
    </font>
    <font>
      <sz val="12"/>
      <color indexed="8"/>
      <name val="Helvetica Neue"/>
    </font>
    <font>
      <u val="single"/>
      <sz val="12"/>
      <color indexed="11"/>
      <name val="Carlito"/>
    </font>
    <font>
      <sz val="15"/>
      <color indexed="8"/>
      <name val="Calibri"/>
    </font>
    <font>
      <b val="1"/>
      <sz val="11"/>
      <color indexed="12"/>
      <name val="Carlito"/>
    </font>
    <font>
      <sz val="13"/>
      <color indexed="8"/>
      <name val="Courier"/>
    </font>
    <font>
      <u val="single"/>
      <sz val="11"/>
      <color indexed="17"/>
      <name val="Carlito"/>
    </font>
    <font>
      <b val="1"/>
      <sz val="18"/>
      <color indexed="12"/>
      <name val="Carlito"/>
    </font>
    <font>
      <b val="1"/>
      <sz val="11"/>
      <color indexed="13"/>
      <name val="Carlito"/>
    </font>
    <font>
      <sz val="10"/>
      <color indexed="8"/>
      <name val="Calibri"/>
    </font>
    <font>
      <sz val="18"/>
      <color indexed="8"/>
      <name val="Calibri"/>
    </font>
    <font>
      <b val="1"/>
      <sz val="18"/>
      <color indexed="8"/>
      <name val="Calibri"/>
    </font>
    <font>
      <b val="1"/>
      <sz val="12"/>
      <color indexed="23"/>
      <name val="Carlito"/>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8"/>
        <bgColor auto="1"/>
      </patternFill>
    </fill>
    <fill>
      <patternFill patternType="solid">
        <fgColor indexed="12"/>
        <bgColor auto="1"/>
      </patternFill>
    </fill>
    <fill>
      <patternFill patternType="solid">
        <fgColor indexed="19"/>
        <bgColor auto="1"/>
      </patternFill>
    </fill>
    <fill>
      <patternFill patternType="solid">
        <fgColor indexed="24"/>
        <bgColor auto="1"/>
      </patternFill>
    </fill>
  </fills>
  <borders count="19">
    <border>
      <left/>
      <right/>
      <top/>
      <bottom/>
      <diagonal/>
    </border>
    <border>
      <left style="thin">
        <color indexed="14"/>
      </left>
      <right/>
      <top style="thin">
        <color indexed="14"/>
      </top>
      <bottom style="thin">
        <color indexed="14"/>
      </bottom>
      <diagonal/>
    </border>
    <border>
      <left/>
      <right/>
      <top style="thin">
        <color indexed="14"/>
      </top>
      <bottom style="thin">
        <color indexed="14"/>
      </bottom>
      <diagonal/>
    </border>
    <border>
      <left/>
      <right style="thin">
        <color indexed="14"/>
      </right>
      <top style="thin">
        <color indexed="14"/>
      </top>
      <bottom style="thin">
        <color indexed="14"/>
      </bottom>
      <diagonal/>
    </border>
    <border>
      <left style="thin">
        <color indexed="14"/>
      </left>
      <right style="thin">
        <color indexed="15"/>
      </right>
      <top style="thin">
        <color indexed="15"/>
      </top>
      <bottom style="thin">
        <color indexed="15"/>
      </bottom>
      <diagonal/>
    </border>
    <border>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bottom style="thin">
        <color indexed="15"/>
      </bottom>
      <diagonal/>
    </border>
    <border>
      <left style="thin">
        <color indexed="15"/>
      </left>
      <right style="thin">
        <color indexed="15"/>
      </right>
      <top/>
      <bottom/>
      <diagonal/>
    </border>
    <border>
      <left style="thin">
        <color indexed="15"/>
      </left>
      <right style="thin">
        <color indexed="15"/>
      </right>
      <top style="thin">
        <color indexed="15"/>
      </top>
      <bottom/>
      <diagonal/>
    </border>
    <border>
      <left style="thin">
        <color indexed="15"/>
      </left>
      <right/>
      <top/>
      <bottom/>
      <diagonal/>
    </border>
    <border>
      <left/>
      <right/>
      <top/>
      <bottom/>
      <diagonal/>
    </border>
    <border>
      <left/>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5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49" fontId="6" fillId="4" borderId="2" applyNumberFormat="1" applyFont="1" applyFill="1" applyBorder="1" applyAlignment="1" applyProtection="0">
      <alignment horizontal="center" vertical="center"/>
    </xf>
    <xf numFmtId="49" fontId="6" fillId="4" borderId="3" applyNumberFormat="1" applyFont="1" applyFill="1" applyBorder="1" applyAlignment="1" applyProtection="0">
      <alignment horizontal="center" vertical="center"/>
    </xf>
    <xf numFmtId="0" fontId="0" borderId="4" applyNumberFormat="0" applyFont="1" applyFill="0" applyBorder="1" applyAlignment="1" applyProtection="0">
      <alignment vertical="bottom"/>
    </xf>
    <xf numFmtId="0" fontId="0" fillId="5" borderId="1" applyNumberFormat="1" applyFont="1" applyFill="1" applyBorder="1" applyAlignment="1" applyProtection="0">
      <alignment vertical="top" wrapText="1"/>
    </xf>
    <xf numFmtId="59" fontId="0" fillId="5" borderId="2" applyNumberFormat="1" applyFont="1" applyFill="1" applyBorder="1" applyAlignment="1" applyProtection="0">
      <alignment vertical="top" wrapText="1"/>
    </xf>
    <xf numFmtId="49" fontId="7" borderId="5" applyNumberFormat="1" applyFont="1" applyFill="0" applyBorder="1" applyAlignment="1" applyProtection="0">
      <alignment vertical="center" readingOrder="1"/>
    </xf>
    <xf numFmtId="49" fontId="7" borderId="6" applyNumberFormat="1" applyFont="1" applyFill="0" applyBorder="1" applyAlignment="1" applyProtection="0">
      <alignment vertical="center" readingOrder="1"/>
    </xf>
    <xf numFmtId="49" fontId="7" borderId="7" applyNumberFormat="1" applyFont="1" applyFill="0" applyBorder="1" applyAlignment="1" applyProtection="0">
      <alignment vertical="center" readingOrder="1"/>
    </xf>
    <xf numFmtId="49" fontId="0" fillId="5" borderId="2" applyNumberFormat="1" applyFont="1" applyFill="1" applyBorder="1" applyAlignment="1" applyProtection="0">
      <alignment vertical="top" wrapText="1"/>
    </xf>
    <xf numFmtId="0" fontId="0" fillId="6" borderId="2" applyNumberFormat="0" applyFont="1" applyFill="1" applyBorder="1" applyAlignment="1" applyProtection="0">
      <alignment vertical="top" wrapText="1"/>
    </xf>
    <xf numFmtId="49" fontId="0" fillId="7" borderId="2" applyNumberFormat="1" applyFont="1" applyFill="1" applyBorder="1" applyAlignment="1" applyProtection="0">
      <alignment vertical="top" wrapText="1"/>
    </xf>
    <xf numFmtId="49" fontId="0" fillId="6" borderId="2" applyNumberFormat="1" applyFont="1" applyFill="1" applyBorder="1" applyAlignment="1" applyProtection="0">
      <alignment vertical="top" wrapText="1"/>
    </xf>
    <xf numFmtId="49" fontId="7" borderId="2" applyNumberFormat="1" applyFont="1" applyFill="0" applyBorder="1" applyAlignment="1" applyProtection="0">
      <alignment vertical="center" readingOrder="1"/>
    </xf>
    <xf numFmtId="59" fontId="0" fillId="6" borderId="2" applyNumberFormat="1" applyFont="1" applyFill="1" applyBorder="1" applyAlignment="1" applyProtection="0">
      <alignment vertical="top" wrapText="1"/>
    </xf>
    <xf numFmtId="59" fontId="0" fillId="6" borderId="3" applyNumberFormat="1" applyFont="1" applyFill="1" applyBorder="1" applyAlignment="1" applyProtection="0">
      <alignment vertical="top" wrapText="1"/>
    </xf>
    <xf numFmtId="0" fontId="0" fillId="7" borderId="5" applyNumberFormat="0" applyFont="1" applyFill="1" applyBorder="1" applyAlignment="1" applyProtection="0">
      <alignment vertical="top" wrapText="1"/>
    </xf>
    <xf numFmtId="0" fontId="0" fillId="7" borderId="6" applyNumberFormat="0" applyFont="1" applyFill="1" applyBorder="1" applyAlignment="1" applyProtection="0">
      <alignment vertical="top" wrapText="1"/>
    </xf>
    <xf numFmtId="49" fontId="0" fillId="7" borderId="6" applyNumberFormat="1" applyFont="1" applyFill="1" applyBorder="1" applyAlignment="1" applyProtection="0">
      <alignment vertical="top" wrapText="1"/>
    </xf>
    <xf numFmtId="59" fontId="0" fillId="7" borderId="6" applyNumberFormat="1" applyFont="1" applyFill="1" applyBorder="1" applyAlignment="1" applyProtection="0">
      <alignment vertical="top" wrapText="1"/>
    </xf>
    <xf numFmtId="59" fontId="0" fillId="7" borderId="8" applyNumberFormat="1" applyFont="1" applyFill="1" applyBorder="1" applyAlignment="1" applyProtection="0">
      <alignment vertical="top" wrapText="1"/>
    </xf>
    <xf numFmtId="49" fontId="0" fillId="7" borderId="5" applyNumberFormat="1" applyFont="1" applyFill="1" applyBorder="1" applyAlignment="1" applyProtection="0">
      <alignment vertical="top" wrapText="1"/>
    </xf>
    <xf numFmtId="0" fontId="0" fillId="5" borderId="1" applyNumberFormat="0" applyFont="1" applyFill="1" applyBorder="1" applyAlignment="1" applyProtection="0">
      <alignment vertical="top" wrapText="1"/>
    </xf>
    <xf numFmtId="0" fontId="0" fillId="5" borderId="2" applyNumberFormat="0" applyFont="1" applyFill="1" applyBorder="1" applyAlignment="1" applyProtection="0">
      <alignment vertical="top" wrapText="1"/>
    </xf>
    <xf numFmtId="0" fontId="0" applyNumberFormat="1" applyFont="1" applyFill="0" applyBorder="0" applyAlignment="1" applyProtection="0">
      <alignment vertical="bottom"/>
    </xf>
    <xf numFmtId="49" fontId="6" fillId="4" borderId="9" applyNumberFormat="1" applyFont="1" applyFill="1" applyBorder="1" applyAlignment="1" applyProtection="0">
      <alignment vertical="bottom" wrapText="1"/>
    </xf>
    <xf numFmtId="49" fontId="6" fillId="4" borderId="10" applyNumberFormat="1" applyFont="1" applyFill="1" applyBorder="1" applyAlignment="1" applyProtection="0">
      <alignment vertical="bottom" wrapText="1"/>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xf numFmtId="49" fontId="0" fillId="7" borderId="13" applyNumberFormat="1" applyFont="1" applyFill="1" applyBorder="1" applyAlignment="1" applyProtection="0">
      <alignment vertical="bottom" wrapText="1"/>
    </xf>
    <xf numFmtId="49" fontId="0" fillId="7" borderId="12"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9" fillId="4" borderId="9" applyNumberFormat="1" applyFont="1" applyFill="1" applyBorder="1" applyAlignment="1" applyProtection="0">
      <alignment vertical="bottom"/>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49" fontId="10" fillId="8" borderId="16" applyNumberFormat="1" applyFont="1" applyFill="1" applyBorder="1" applyAlignment="1" applyProtection="0">
      <alignment vertical="bottom"/>
    </xf>
    <xf numFmtId="49" fontId="10" fillId="8" borderId="17" applyNumberFormat="1" applyFont="1" applyFill="1" applyBorder="1" applyAlignment="1" applyProtection="0">
      <alignment vertical="bottom"/>
    </xf>
    <xf numFmtId="0" fontId="0" borderId="18" applyNumberFormat="0" applyFont="1" applyFill="0" applyBorder="1" applyAlignment="1" applyProtection="0">
      <alignment vertical="bottom"/>
    </xf>
    <xf numFmtId="49" fontId="0" borderId="13" applyNumberFormat="1" applyFont="1" applyFill="0" applyBorder="1" applyAlignment="1" applyProtection="0">
      <alignment vertical="bottom"/>
    </xf>
    <xf numFmtId="0" fontId="0" borderId="13" applyNumberFormat="1" applyFont="1" applyFill="0" applyBorder="1" applyAlignment="1" applyProtection="0">
      <alignment vertical="bottom"/>
    </xf>
    <xf numFmtId="49" fontId="0" borderId="12" applyNumberFormat="1" applyFont="1" applyFill="0" applyBorder="1" applyAlignment="1" applyProtection="0">
      <alignment vertical="bottom"/>
    </xf>
    <xf numFmtId="0" fontId="0" borderId="12" applyNumberFormat="1" applyFont="1" applyFill="0" applyBorder="1" applyAlignment="1" applyProtection="0">
      <alignment vertical="bottom"/>
    </xf>
    <xf numFmtId="0" fontId="0" applyNumberFormat="1" applyFont="1" applyFill="0" applyBorder="0" applyAlignment="1" applyProtection="0">
      <alignment vertical="bottom"/>
    </xf>
    <xf numFmtId="49" fontId="9" fillId="4" borderId="9" applyNumberFormat="1" applyFont="1" applyFill="1" applyBorder="1" applyAlignment="1" applyProtection="0">
      <alignment horizontal="left" vertical="center"/>
    </xf>
    <xf numFmtId="49" fontId="14" fillId="9" borderId="16" applyNumberFormat="1" applyFont="1" applyFill="1" applyBorder="1" applyAlignment="1" applyProtection="0">
      <alignment vertical="bottom"/>
    </xf>
    <xf numFmtId="49" fontId="10" fillId="8" borderId="16" applyNumberFormat="1" applyFont="1" applyFill="1" applyBorder="1" applyAlignment="1" applyProtection="0">
      <alignment vertical="bottom" wrapText="1"/>
    </xf>
    <xf numFmtId="49" fontId="10" fillId="8" borderId="17"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0b1f33"/>
      <rgbColor rgb="ff729fb3"/>
      <rgbColor rgb="ffaaaaaa"/>
      <rgbColor rgb="fff7f4ec"/>
      <rgbColor rgb="ff467886"/>
      <rgbColor rgb="ffd0dfe5"/>
      <rgbColor rgb="ffc7a45a"/>
      <rgbColor rgb="ffd9d9d9"/>
      <rgbColor rgb="ff878787"/>
      <rgbColor rgb="ffcccccc"/>
      <rgbColor rgb="ff1f2933"/>
      <rgbColor rgb="fff1e7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c="http://schemas.openxmlformats.org/drawingml/2006/chart" xmlns:a="http://schemas.openxmlformats.org/drawingml/2006/main" xmlns:r="http://schemas.openxmlformats.org/officeDocument/2006/relationships">
  <c:date1904 val="0"/>
  <c:roundedCorners val="0"/>
  <c:chart>
    <c:title>
      <c:tx>
        <c:rich>
          <a:bodyPr rot="0"/>
          <a:lstStyle/>
          <a:p>
            <a:pPr>
              <a:defRPr b="1" i="0" strike="noStrike" sz="1800" u="none">
                <a:solidFill>
                  <a:srgbClr val="000000"/>
                </a:solidFill>
                <a:latin typeface="Calibri"/>
              </a:defRPr>
            </a:pPr>
            <a:r>
              <a:rPr b="1" i="0" strike="noStrike" sz="1800" u="none">
                <a:solidFill>
                  <a:srgbClr val="000000"/>
                </a:solidFill>
                <a:latin typeface="Calibri"/>
              </a:rPr>
              <a:t>Sources by Type</a:t>
            </a:r>
          </a:p>
        </c:rich>
      </c:tx>
      <c:layout>
        <c:manualLayout>
          <c:xMode val="edge"/>
          <c:yMode val="edge"/>
          <c:x val="0.414632"/>
          <c:y val="0"/>
          <c:w val="0.170735"/>
          <c:h val="0.114409"/>
        </c:manualLayout>
      </c:layout>
      <c:overlay val="1"/>
      <c:spPr>
        <a:noFill/>
        <a:effectLst/>
      </c:spPr>
    </c:title>
    <c:autoTitleDeleted val="1"/>
    <c:plotArea>
      <c:layout>
        <c:manualLayout>
          <c:layoutTarget val="inner"/>
          <c:xMode val="edge"/>
          <c:yMode val="edge"/>
          <c:x val="0.0342342"/>
          <c:y val="0.114409"/>
          <c:w val="0.960766"/>
          <c:h val="0.818254"/>
        </c:manualLayout>
      </c:layout>
      <c:barChart>
        <c:barDir val="col"/>
        <c:grouping val="clustered"/>
        <c:varyColors val="0"/>
        <c:ser>
          <c:idx val="0"/>
          <c:order val="0"/>
          <c:tx>
            <c:v>Count</c:v>
          </c:tx>
          <c:spPr>
            <a:solidFill>
              <a:schemeClr val="accent1"/>
            </a:solidFill>
            <a:ln w="12700" cap="flat">
              <a:noFill/>
              <a:miter lim="400000"/>
            </a:ln>
            <a:effectLst/>
          </c:spPr>
          <c:invertIfNegative val="0"/>
          <c:dLbls>
            <c:numFmt formatCode="General" sourceLinked="1"/>
            <c:txPr>
              <a:bodyPr/>
              <a:lstStyle/>
              <a:p>
                <a:pPr>
                  <a:defRPr b="0" i="0" strike="noStrike" sz="1000" u="none">
                    <a:solidFill>
                      <a:srgbClr val="000000"/>
                    </a:solidFill>
                    <a:latin typeface="Calibri"/>
                  </a:defRPr>
                </a:pPr>
              </a:p>
            </c:txPr>
            <c:dLblPos val="outEnd"/>
            <c:showLegendKey val="0"/>
            <c:showVal val="0"/>
            <c:showCatName val="0"/>
            <c:showSerName val="0"/>
            <c:showPercent val="0"/>
            <c:showBubbleSize val="0"/>
            <c:showLeaderLines val="0"/>
          </c:dLbls>
          <c:cat>
            <c:strRef>
              <c:f>'Summary'!$D$4:$D$11</c:f>
              <c:strCache>
                <c:ptCount val="8"/>
                <c:pt idx="0">
                  <c:v>Federal court document</c:v>
                </c:pt>
                <c:pt idx="1">
                  <c:v>DOJ / U.S. Attorney release</c:v>
                </c:pt>
                <c:pt idx="2">
                  <c:v>FBI resource</c:v>
                </c:pt>
                <c:pt idx="3">
                  <c:v>Government report</c:v>
                </c:pt>
                <c:pt idx="4">
                  <c:v>Peer-reviewed research</c:v>
                </c:pt>
                <c:pt idx="5">
                  <c:v>NGO / hotline report</c:v>
                </c:pt>
                <c:pt idx="6">
                  <c:v>Investigative journalism</c:v>
                </c:pt>
                <c:pt idx="7">
                  <c:v>Other</c:v>
                </c:pt>
              </c:strCache>
            </c:strRef>
          </c:cat>
          <c:val>
            <c:numRef>
              <c:f>'Summary'!$E$4:$E$11</c:f>
              <c:numCache>
                <c:ptCount val="8"/>
                <c:pt idx="0">
                  <c:v>0.000000</c:v>
                </c:pt>
                <c:pt idx="1">
                  <c:v>0.000000</c:v>
                </c:pt>
                <c:pt idx="2">
                  <c:v>0.000000</c:v>
                </c:pt>
                <c:pt idx="3">
                  <c:v>2.000000</c:v>
                </c:pt>
                <c:pt idx="4">
                  <c:v>0.000000</c:v>
                </c:pt>
                <c:pt idx="5">
                  <c:v>0.000000</c:v>
                </c:pt>
                <c:pt idx="6">
                  <c:v>0.000000</c:v>
                </c:pt>
                <c:pt idx="7">
                  <c:v>0.000000</c:v>
                </c:pt>
              </c:numCache>
            </c:numRef>
          </c:val>
        </c:ser>
        <c:gapWidth val="150"/>
        <c:overlap val="0"/>
        <c:axId val="2094734552"/>
        <c:axId val="2094734553"/>
      </c:barChart>
      <c:catAx>
        <c:axId val="2094734552"/>
        <c:scaling>
          <c:orientation val="minMax"/>
        </c:scaling>
        <c:delete val="0"/>
        <c:axPos val="b"/>
        <c:majorGridlines>
          <c:spPr>
            <a:ln w="12700" cap="flat">
              <a:solidFill>
                <a:srgbClr val="CCCCCC"/>
              </a:solidFill>
              <a:prstDash val="dash"/>
              <a:round/>
            </a:ln>
          </c:spPr>
        </c:majorGridlines>
        <c:numFmt formatCode="General" sourceLinked="1"/>
        <c:majorTickMark val="none"/>
        <c:minorTickMark val="none"/>
        <c:tickLblPos val="low"/>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3"/>
        <c:crosses val="autoZero"/>
        <c:auto val="1"/>
        <c:lblAlgn val="ctr"/>
        <c:noMultiLvlLbl val="1"/>
      </c:catAx>
      <c:valAx>
        <c:axId val="2094734553"/>
        <c:scaling>
          <c:orientation val="minMax"/>
        </c:scaling>
        <c:delete val="0"/>
        <c:axPos val="l"/>
        <c:majorGridlines>
          <c:spPr>
            <a:ln w="12700" cap="flat">
              <a:solidFill>
                <a:srgbClr val="CCCCCC"/>
              </a:solidFill>
              <a:prstDash val="dash"/>
              <a:round/>
            </a:ln>
          </c:spPr>
        </c:majorGridlines>
        <c:numFmt formatCode="General" sourceLinked="1"/>
        <c:majorTickMark val="none"/>
        <c:minorTickMark val="none"/>
        <c:tickLblPos val="nextTo"/>
        <c:spPr>
          <a:ln w="12700" cap="flat">
            <a:solidFill>
              <a:srgbClr val="888888"/>
            </a:solidFill>
            <a:prstDash val="solid"/>
            <a:round/>
          </a:ln>
        </c:spPr>
        <c:txPr>
          <a:bodyPr rot="0"/>
          <a:lstStyle/>
          <a:p>
            <a:pPr>
              <a:defRPr b="0" i="0" strike="noStrike" sz="1000" u="none">
                <a:solidFill>
                  <a:srgbClr val="000000"/>
                </a:solidFill>
                <a:latin typeface="Calibri"/>
              </a:defRPr>
            </a:pPr>
          </a:p>
        </c:txPr>
        <c:crossAx val="2094734552"/>
        <c:crosses val="autoZero"/>
        <c:crossBetween val="between"/>
        <c:majorUnit val="0.5"/>
        <c:minorUnit val="0.25"/>
      </c:valAx>
      <c:spPr>
        <a:solidFill>
          <a:srgbClr val="FFFFFF"/>
        </a:solidFill>
        <a:ln w="12700" cap="flat">
          <a:noFill/>
          <a:miter lim="400000"/>
        </a:ln>
        <a:effectLst/>
      </c:spPr>
    </c:plotArea>
    <c:plotVisOnly val="1"/>
    <c:dispBlanksAs val="gap"/>
  </c:chart>
  <c:spPr>
    <a:solidFill>
      <a:srgbClr val="FFFFFF"/>
    </a:solidFill>
    <a:ln w="12700" cap="flat">
      <a:solidFill>
        <a:srgbClr val="D9D9D9"/>
      </a:solidFill>
      <a:prstDash val="solid"/>
      <a:round/>
    </a:ln>
    <a:effectLst/>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10</xdr:row>
      <xdr:rowOff>20908</xdr:rowOff>
    </xdr:from>
    <xdr:to>
      <xdr:col>7</xdr:col>
      <xdr:colOff>543044</xdr:colOff>
      <xdr:row>27</xdr:row>
      <xdr:rowOff>92620</xdr:rowOff>
    </xdr:to>
    <xdr:graphicFrame>
      <xdr:nvGraphicFramePr>
        <xdr:cNvPr id="2" name="Chart"/>
        <xdr:cNvGraphicFramePr/>
      </xdr:nvGraphicFramePr>
      <xdr:xfrm>
        <a:off x="-35046" y="2167208"/>
        <a:ext cx="8963146" cy="3310213"/>
      </xdr:xfrm>
      <a:graphic xmlns:a="http://schemas.openxmlformats.org/drawingml/2006/main">
        <a:graphicData uri="http://schemas.openxmlformats.org/drawingml/2006/chart">
          <c:chart xmlns:c="http://schemas.openxmlformats.org/drawingml/2006/chart" r:id="rId1"/>
        </a:graphicData>
      </a:graphic>
    </xdr:graphicFrame>
    <xdr:clientData/>
  </xdr:twoCellAnchor>
</xdr:wsDr>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ChatGPT">
      <a:majorFont>
        <a:latin typeface="Helvetica Neue"/>
        <a:ea typeface="Helvetica Neue"/>
        <a:cs typeface="Helvetica Neue"/>
      </a:majorFont>
      <a:minorFont>
        <a:latin typeface="Helvetica Neue"/>
        <a:ea typeface="Helvetica Neue"/>
        <a:cs typeface="Helvetica Neue"/>
      </a:minorFont>
    </a:fontScheme>
    <a:fmtScheme name="ChatGPT">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www.gao.gov/assets/gao-22-105101.pdf" TargetMode="External"/><Relationship Id="rId2" Type="http://schemas.openxmlformats.org/officeDocument/2006/relationships/hyperlink" Target="https://www.gao.gov/assets/gao-21-385.pdf" TargetMode="External"/><Relationship Id="rId3" Type="http://schemas.openxmlformats.org/officeDocument/2006/relationships/hyperlink" Target="https://www.justice.gov/d9/press-releases/attachments/2022/01/31/doj_ht_strategy.pdf?utm_source=chatgpt.com" TargetMode="External"/><Relationship Id="rId4" Type="http://schemas.openxmlformats.org/officeDocument/2006/relationships/hyperlink" Target="https://traffickinginstitute.org/wp-content/uploads/2024/06/2023-Federal-Human-Trafficking-Report-WEB-Spreads-LR.pdf?utm_source=chatgpt.com" TargetMode="External"/><Relationship Id="rId5" Type="http://schemas.openxmlformats.org/officeDocument/2006/relationships/hyperlink" Target="https://humantraffickinghotline.org/en/statistics?utm_source=chatgpt.com" TargetMode="External"/></Relationships>

</file>

<file path=xl/worksheets/_rels/sheet4.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53</v>
      </c>
      <c r="C11" s="3"/>
      <c r="D11" s="3"/>
    </row>
    <row r="12">
      <c r="B12" s="4"/>
      <c r="C12" t="s" s="4">
        <v>5</v>
      </c>
      <c r="D12" t="s" s="5">
        <v>53</v>
      </c>
    </row>
    <row r="13">
      <c r="B13" t="s" s="3">
        <v>120</v>
      </c>
      <c r="C13" s="3"/>
      <c r="D13" s="3"/>
    </row>
    <row r="14">
      <c r="B14" s="4"/>
      <c r="C14" t="s" s="4">
        <v>5</v>
      </c>
      <c r="D14" t="s" s="5">
        <v>120</v>
      </c>
    </row>
    <row r="15">
      <c r="B15" t="s" s="3">
        <v>128</v>
      </c>
      <c r="C15" s="3"/>
      <c r="D15" s="3"/>
    </row>
    <row r="16">
      <c r="B16" s="4"/>
      <c r="C16" t="s" s="4">
        <v>5</v>
      </c>
      <c r="D16" t="s" s="5">
        <v>128</v>
      </c>
    </row>
  </sheetData>
  <mergeCells count="1">
    <mergeCell ref="B3:D3"/>
  </mergeCells>
  <hyperlinks>
    <hyperlink ref="D10" location="'Evidence Log'!R1C1" tooltip="" display="Evidence Log"/>
    <hyperlink ref="D12" location="'Coding Guide'!R1C1" tooltip="" display="Coding Guide"/>
    <hyperlink ref="D14" location="'Summary'!R1C1" tooltip="" display="Summary"/>
    <hyperlink ref="D16" location="'Start Here'!R1C1" tooltip="" display="Start Here"/>
  </hyperlinks>
</worksheet>
</file>

<file path=xl/worksheets/sheet2.xml><?xml version="1.0" encoding="utf-8"?>
<worksheet xmlns:r="http://schemas.openxmlformats.org/officeDocument/2006/relationships" xmlns="http://schemas.openxmlformats.org/spreadsheetml/2006/main">
  <dimension ref="A1:S20"/>
  <sheetViews>
    <sheetView workbookViewId="0" showGridLines="0" defaultGridColor="1"/>
  </sheetViews>
  <sheetFormatPr defaultColWidth="8.83333" defaultRowHeight="15" customHeight="1" outlineLevelRow="0" outlineLevelCol="0"/>
  <cols>
    <col min="1" max="1" width="14" style="6" customWidth="1"/>
    <col min="2" max="2" width="13" style="6" customWidth="1"/>
    <col min="3" max="3" width="38" style="6" customWidth="1"/>
    <col min="4" max="5" width="24" style="6" customWidth="1"/>
    <col min="6" max="6" width="42" style="6" customWidth="1"/>
    <col min="7" max="7" width="18" style="6" customWidth="1"/>
    <col min="8" max="8" width="22" style="6" customWidth="1"/>
    <col min="9" max="9" width="24" style="6" customWidth="1"/>
    <col min="10" max="10" width="18" style="6" customWidth="1"/>
    <col min="11" max="11" width="22" style="6" customWidth="1"/>
    <col min="12" max="12" width="44" style="6" customWidth="1"/>
    <col min="13" max="13" width="42" style="6" customWidth="1"/>
    <col min="14" max="14" width="13" style="6" customWidth="1"/>
    <col min="15" max="15" width="14" style="6" customWidth="1"/>
    <col min="16" max="16" width="26" style="6" customWidth="1"/>
    <col min="17" max="18" width="14" style="6" customWidth="1"/>
    <col min="19" max="19" width="8.85156" style="6" customWidth="1"/>
    <col min="20" max="16384" width="8.85156" style="6" customWidth="1"/>
  </cols>
  <sheetData>
    <row r="1" ht="34" customHeight="1">
      <c r="A1" t="s" s="7">
        <v>6</v>
      </c>
      <c r="B1" t="s" s="8">
        <v>7</v>
      </c>
      <c r="C1" t="s" s="8">
        <v>8</v>
      </c>
      <c r="D1" t="s" s="8">
        <v>9</v>
      </c>
      <c r="E1" t="s" s="8">
        <v>10</v>
      </c>
      <c r="F1" t="s" s="8">
        <v>11</v>
      </c>
      <c r="G1" t="s" s="8">
        <v>12</v>
      </c>
      <c r="H1" t="s" s="8">
        <v>13</v>
      </c>
      <c r="I1" t="s" s="8">
        <v>14</v>
      </c>
      <c r="J1" t="s" s="8">
        <v>15</v>
      </c>
      <c r="K1" t="s" s="8">
        <v>16</v>
      </c>
      <c r="L1" t="s" s="8">
        <v>17</v>
      </c>
      <c r="M1" t="s" s="8">
        <v>18</v>
      </c>
      <c r="N1" t="s" s="8">
        <v>19</v>
      </c>
      <c r="O1" t="s" s="8">
        <v>20</v>
      </c>
      <c r="P1" t="s" s="8">
        <v>21</v>
      </c>
      <c r="Q1" t="s" s="8">
        <v>22</v>
      </c>
      <c r="R1" t="s" s="9">
        <v>23</v>
      </c>
      <c r="S1" s="10"/>
    </row>
    <row r="2" ht="19" customHeight="1">
      <c r="A2" s="11">
        <v>1</v>
      </c>
      <c r="B2" s="12">
        <v>44606</v>
      </c>
      <c r="C2" t="s" s="13">
        <v>24</v>
      </c>
      <c r="D2" t="s" s="14">
        <v>25</v>
      </c>
      <c r="E2" t="s" s="15">
        <v>26</v>
      </c>
      <c r="F2" t="s" s="16">
        <v>27</v>
      </c>
      <c r="G2" s="17"/>
      <c r="H2" s="17"/>
      <c r="I2" s="17"/>
      <c r="J2" s="17"/>
      <c r="K2" s="17"/>
      <c r="L2" s="17"/>
      <c r="M2" s="17"/>
      <c r="N2" t="s" s="18">
        <v>28</v>
      </c>
      <c r="O2" t="s" s="19">
        <v>29</v>
      </c>
      <c r="P2" t="s" s="20">
        <v>30</v>
      </c>
      <c r="Q2" s="21"/>
      <c r="R2" s="22"/>
      <c r="S2" s="10"/>
    </row>
    <row r="3" ht="39" customHeight="1">
      <c r="A3" s="11">
        <v>2</v>
      </c>
      <c r="B3" s="12">
        <v>44368</v>
      </c>
      <c r="C3" t="s" s="16">
        <v>31</v>
      </c>
      <c r="D3" t="s" s="16">
        <v>25</v>
      </c>
      <c r="E3" t="s" s="16">
        <v>26</v>
      </c>
      <c r="F3" t="s" s="16">
        <v>32</v>
      </c>
      <c r="G3" s="23"/>
      <c r="H3" s="24"/>
      <c r="I3" s="24"/>
      <c r="J3" s="24"/>
      <c r="K3" s="24"/>
      <c r="L3" s="24"/>
      <c r="M3" s="24"/>
      <c r="N3" t="s" s="25">
        <v>28</v>
      </c>
      <c r="O3" t="s" s="25">
        <v>29</v>
      </c>
      <c r="P3" t="s" s="25">
        <v>33</v>
      </c>
      <c r="Q3" s="26"/>
      <c r="R3" s="27"/>
      <c r="S3" s="10"/>
    </row>
    <row r="4" ht="39.55" customHeight="1">
      <c r="A4" s="11">
        <v>3</v>
      </c>
      <c r="B4" s="12">
        <v>44592</v>
      </c>
      <c r="C4" t="s" s="16">
        <v>34</v>
      </c>
      <c r="D4" t="s" s="16">
        <v>35</v>
      </c>
      <c r="E4" t="s" s="16">
        <v>36</v>
      </c>
      <c r="F4" t="s" s="16">
        <v>37</v>
      </c>
      <c r="G4" s="17"/>
      <c r="H4" s="17"/>
      <c r="I4" s="17"/>
      <c r="J4" s="17"/>
      <c r="K4" s="17"/>
      <c r="L4" s="17"/>
      <c r="M4" s="17"/>
      <c r="N4" t="s" s="18">
        <v>28</v>
      </c>
      <c r="O4" t="s" s="19">
        <v>29</v>
      </c>
      <c r="P4" t="s" s="19">
        <v>38</v>
      </c>
      <c r="Q4" s="21"/>
      <c r="R4" s="22"/>
      <c r="S4" s="10"/>
    </row>
    <row r="5" ht="39.55" customHeight="1">
      <c r="A5" s="11">
        <v>4</v>
      </c>
      <c r="B5" t="s" s="16">
        <v>39</v>
      </c>
      <c r="C5" t="s" s="16">
        <v>40</v>
      </c>
      <c r="D5" t="s" s="16">
        <v>41</v>
      </c>
      <c r="E5" t="s" s="16">
        <v>42</v>
      </c>
      <c r="F5" t="s" s="16">
        <v>43</v>
      </c>
      <c r="G5" t="s" s="28">
        <v>44</v>
      </c>
      <c r="H5" t="s" s="25">
        <v>45</v>
      </c>
      <c r="I5" s="24"/>
      <c r="J5" s="24"/>
      <c r="K5" t="s" s="25">
        <v>46</v>
      </c>
      <c r="L5" s="24"/>
      <c r="M5" s="24"/>
      <c r="N5" t="s" s="25">
        <v>47</v>
      </c>
      <c r="O5" t="s" s="25">
        <v>29</v>
      </c>
      <c r="P5" t="s" s="25">
        <v>48</v>
      </c>
      <c r="Q5" s="26"/>
      <c r="R5" s="27"/>
      <c r="S5" s="10"/>
    </row>
    <row r="6" ht="39" customHeight="1">
      <c r="A6" s="11">
        <v>5</v>
      </c>
      <c r="B6" s="12">
        <v>45769</v>
      </c>
      <c r="C6" t="s" s="16">
        <v>49</v>
      </c>
      <c r="D6" t="s" s="16">
        <v>50</v>
      </c>
      <c r="E6" t="s" s="16">
        <v>51</v>
      </c>
      <c r="F6" t="s" s="16">
        <v>52</v>
      </c>
      <c r="G6" s="23"/>
      <c r="H6" s="24"/>
      <c r="I6" s="24"/>
      <c r="J6" s="24"/>
      <c r="K6" s="24"/>
      <c r="L6" s="24"/>
      <c r="M6" s="24"/>
      <c r="N6" t="s" s="25">
        <v>47</v>
      </c>
      <c r="O6" t="s" s="25">
        <v>29</v>
      </c>
      <c r="P6" s="24"/>
      <c r="Q6" s="26"/>
      <c r="R6" s="27"/>
      <c r="S6" s="10"/>
    </row>
    <row r="7" ht="15" customHeight="1">
      <c r="A7" s="29"/>
      <c r="B7" s="12"/>
      <c r="C7" s="30"/>
      <c r="D7" s="30"/>
      <c r="E7" s="30"/>
      <c r="F7" s="30"/>
      <c r="G7" s="17"/>
      <c r="H7" s="17"/>
      <c r="I7" s="17"/>
      <c r="J7" s="17"/>
      <c r="K7" s="17"/>
      <c r="L7" s="17"/>
      <c r="M7" s="17"/>
      <c r="N7" s="17"/>
      <c r="O7" t="s" s="19">
        <v>29</v>
      </c>
      <c r="P7" s="17"/>
      <c r="Q7" s="21"/>
      <c r="R7" s="22"/>
      <c r="S7" s="10"/>
    </row>
    <row r="8" ht="15" customHeight="1">
      <c r="A8" s="29"/>
      <c r="B8" s="12"/>
      <c r="C8" s="30"/>
      <c r="D8" s="30"/>
      <c r="E8" s="30"/>
      <c r="F8" s="30"/>
      <c r="G8" s="23"/>
      <c r="H8" s="24"/>
      <c r="I8" s="24"/>
      <c r="J8" s="24"/>
      <c r="K8" s="24"/>
      <c r="L8" s="24"/>
      <c r="M8" s="24"/>
      <c r="N8" s="24"/>
      <c r="O8" t="s" s="25">
        <v>29</v>
      </c>
      <c r="P8" s="24"/>
      <c r="Q8" s="26"/>
      <c r="R8" s="27"/>
      <c r="S8" s="10"/>
    </row>
    <row r="9" ht="15" customHeight="1">
      <c r="A9" s="29"/>
      <c r="B9" s="12"/>
      <c r="C9" s="30"/>
      <c r="D9" s="30"/>
      <c r="E9" s="30"/>
      <c r="F9" s="30"/>
      <c r="G9" s="17"/>
      <c r="H9" s="17"/>
      <c r="I9" s="17"/>
      <c r="J9" s="17"/>
      <c r="K9" s="17"/>
      <c r="L9" s="17"/>
      <c r="M9" s="17"/>
      <c r="N9" s="17"/>
      <c r="O9" t="s" s="19">
        <v>29</v>
      </c>
      <c r="P9" s="17"/>
      <c r="Q9" s="21"/>
      <c r="R9" s="22"/>
      <c r="S9" s="10"/>
    </row>
    <row r="10" ht="15" customHeight="1">
      <c r="A10" s="29"/>
      <c r="B10" s="12"/>
      <c r="C10" s="30"/>
      <c r="D10" s="30"/>
      <c r="E10" s="30"/>
      <c r="F10" s="30"/>
      <c r="G10" s="23"/>
      <c r="H10" s="24"/>
      <c r="I10" s="24"/>
      <c r="J10" s="24"/>
      <c r="K10" s="24"/>
      <c r="L10" s="24"/>
      <c r="M10" s="24"/>
      <c r="N10" s="24"/>
      <c r="O10" t="s" s="25">
        <v>29</v>
      </c>
      <c r="P10" s="24"/>
      <c r="Q10" s="26"/>
      <c r="R10" s="27"/>
      <c r="S10" s="10"/>
    </row>
    <row r="11" ht="15" customHeight="1">
      <c r="A11" s="29"/>
      <c r="B11" s="12"/>
      <c r="C11" s="30"/>
      <c r="D11" s="30"/>
      <c r="E11" s="30"/>
      <c r="F11" s="30"/>
      <c r="G11" s="17"/>
      <c r="H11" s="17"/>
      <c r="I11" s="17"/>
      <c r="J11" s="17"/>
      <c r="K11" s="17"/>
      <c r="L11" s="17"/>
      <c r="M11" s="17"/>
      <c r="N11" s="17"/>
      <c r="O11" t="s" s="19">
        <v>29</v>
      </c>
      <c r="P11" s="17"/>
      <c r="Q11" s="21"/>
      <c r="R11" s="22"/>
      <c r="S11" s="10"/>
    </row>
    <row r="12" ht="15" customHeight="1">
      <c r="A12" s="29"/>
      <c r="B12" s="12"/>
      <c r="C12" s="30"/>
      <c r="D12" s="30"/>
      <c r="E12" s="30"/>
      <c r="F12" s="30"/>
      <c r="G12" s="23"/>
      <c r="H12" s="24"/>
      <c r="I12" s="24"/>
      <c r="J12" s="24"/>
      <c r="K12" s="24"/>
      <c r="L12" s="24"/>
      <c r="M12" s="24"/>
      <c r="N12" s="24"/>
      <c r="O12" t="s" s="25">
        <v>29</v>
      </c>
      <c r="P12" s="24"/>
      <c r="Q12" s="26"/>
      <c r="R12" s="27"/>
      <c r="S12" s="10"/>
    </row>
    <row r="13" ht="15" customHeight="1">
      <c r="A13" s="29"/>
      <c r="B13" s="12"/>
      <c r="C13" s="30"/>
      <c r="D13" s="30"/>
      <c r="E13" s="30"/>
      <c r="F13" s="30"/>
      <c r="G13" s="17"/>
      <c r="H13" s="17"/>
      <c r="I13" s="17"/>
      <c r="J13" s="17"/>
      <c r="K13" s="17"/>
      <c r="L13" s="17"/>
      <c r="M13" s="17"/>
      <c r="N13" s="17"/>
      <c r="O13" t="s" s="19">
        <v>29</v>
      </c>
      <c r="P13" s="17"/>
      <c r="Q13" s="21"/>
      <c r="R13" s="22"/>
      <c r="S13" s="10"/>
    </row>
    <row r="14" ht="15" customHeight="1">
      <c r="A14" s="29"/>
      <c r="B14" s="12"/>
      <c r="C14" s="30"/>
      <c r="D14" s="30"/>
      <c r="E14" s="30"/>
      <c r="F14" s="30"/>
      <c r="G14" s="23"/>
      <c r="H14" s="24"/>
      <c r="I14" s="24"/>
      <c r="J14" s="24"/>
      <c r="K14" s="24"/>
      <c r="L14" s="24"/>
      <c r="M14" s="24"/>
      <c r="N14" s="24"/>
      <c r="O14" t="s" s="25">
        <v>29</v>
      </c>
      <c r="P14" s="24"/>
      <c r="Q14" s="26"/>
      <c r="R14" s="27"/>
      <c r="S14" s="10"/>
    </row>
    <row r="15" ht="15" customHeight="1">
      <c r="A15" s="29"/>
      <c r="B15" s="12"/>
      <c r="C15" s="30"/>
      <c r="D15" s="30"/>
      <c r="E15" s="30"/>
      <c r="F15" s="30"/>
      <c r="G15" s="17"/>
      <c r="H15" s="17"/>
      <c r="I15" s="17"/>
      <c r="J15" s="17"/>
      <c r="K15" s="17"/>
      <c r="L15" s="17"/>
      <c r="M15" s="17"/>
      <c r="N15" s="17"/>
      <c r="O15" t="s" s="19">
        <v>29</v>
      </c>
      <c r="P15" s="17"/>
      <c r="Q15" s="21"/>
      <c r="R15" s="22"/>
      <c r="S15" s="10"/>
    </row>
    <row r="16" ht="15" customHeight="1">
      <c r="A16" s="29"/>
      <c r="B16" s="12"/>
      <c r="C16" s="30"/>
      <c r="D16" s="30"/>
      <c r="E16" s="30"/>
      <c r="F16" s="30"/>
      <c r="G16" s="23"/>
      <c r="H16" s="24"/>
      <c r="I16" s="24"/>
      <c r="J16" s="24"/>
      <c r="K16" s="24"/>
      <c r="L16" s="24"/>
      <c r="M16" s="24"/>
      <c r="N16" s="24"/>
      <c r="O16" t="s" s="25">
        <v>29</v>
      </c>
      <c r="P16" s="24"/>
      <c r="Q16" s="26"/>
      <c r="R16" s="27"/>
      <c r="S16" s="10"/>
    </row>
    <row r="17" ht="15" customHeight="1">
      <c r="A17" s="29"/>
      <c r="B17" s="12"/>
      <c r="C17" s="30"/>
      <c r="D17" s="30"/>
      <c r="E17" s="30"/>
      <c r="F17" s="30"/>
      <c r="G17" s="17"/>
      <c r="H17" s="17"/>
      <c r="I17" s="17"/>
      <c r="J17" s="17"/>
      <c r="K17" s="17"/>
      <c r="L17" s="17"/>
      <c r="M17" s="17"/>
      <c r="N17" s="17"/>
      <c r="O17" t="s" s="19">
        <v>29</v>
      </c>
      <c r="P17" s="17"/>
      <c r="Q17" s="21"/>
      <c r="R17" s="22"/>
      <c r="S17" s="10"/>
    </row>
    <row r="18" ht="15" customHeight="1">
      <c r="A18" s="29"/>
      <c r="B18" s="12"/>
      <c r="C18" s="30"/>
      <c r="D18" s="30"/>
      <c r="E18" s="30"/>
      <c r="F18" s="30"/>
      <c r="G18" s="23"/>
      <c r="H18" s="24"/>
      <c r="I18" s="24"/>
      <c r="J18" s="24"/>
      <c r="K18" s="24"/>
      <c r="L18" s="24"/>
      <c r="M18" s="24"/>
      <c r="N18" s="24"/>
      <c r="O18" t="s" s="25">
        <v>29</v>
      </c>
      <c r="P18" s="24"/>
      <c r="Q18" s="26"/>
      <c r="R18" s="27"/>
      <c r="S18" s="10"/>
    </row>
    <row r="19" ht="15" customHeight="1">
      <c r="A19" s="29"/>
      <c r="B19" s="12"/>
      <c r="C19" s="30"/>
      <c r="D19" s="30"/>
      <c r="E19" s="30"/>
      <c r="F19" s="30"/>
      <c r="G19" s="17"/>
      <c r="H19" s="17"/>
      <c r="I19" s="17"/>
      <c r="J19" s="17"/>
      <c r="K19" s="17"/>
      <c r="L19" s="17"/>
      <c r="M19" s="17"/>
      <c r="N19" s="17"/>
      <c r="O19" t="s" s="19">
        <v>29</v>
      </c>
      <c r="P19" s="17"/>
      <c r="Q19" s="21"/>
      <c r="R19" s="22"/>
      <c r="S19" s="10"/>
    </row>
    <row r="20" ht="15" customHeight="1">
      <c r="A20" s="29"/>
      <c r="B20" s="12"/>
      <c r="C20" s="30"/>
      <c r="D20" s="30"/>
      <c r="E20" s="30"/>
      <c r="F20" s="30"/>
      <c r="G20" s="23"/>
      <c r="H20" s="24"/>
      <c r="I20" s="24"/>
      <c r="J20" s="24"/>
      <c r="K20" s="24"/>
      <c r="L20" s="24"/>
      <c r="M20" s="24"/>
      <c r="N20" s="24"/>
      <c r="O20" t="s" s="25">
        <v>29</v>
      </c>
      <c r="P20" s="24"/>
      <c r="Q20" s="26"/>
      <c r="R20" s="27"/>
      <c r="S20" s="10"/>
    </row>
  </sheetData>
  <dataValidations count="6">
    <dataValidation type="list" allowBlank="1" showInputMessage="1" showErrorMessage="1" sqref="G2:G20">
      <formula1>"Sex trafficking,Labor trafficking,Both / mixed,Unspecified"</formula1>
    </dataValidation>
    <dataValidation type="list" allowBlank="1" showInputMessage="1" showErrorMessage="1" sqref="H2:H20">
      <formula1>"Recruitment,Grooming / coercion,Advertising,Payments / finance,Transportation,Digital evidence,Employment scams,Law enforcement,Victim services"</formula1>
    </dataValidation>
    <dataValidation type="list" allowBlank="1" showInputMessage="1" showErrorMessage="1" sqref="K2:K20">
      <formula1>"Allegation / complaint,Indictment / charges,Plea,Conviction,Sentencing,Research / non-case"</formula1>
    </dataValidation>
    <dataValidation type="list" allowBlank="1" showInputMessage="1" showErrorMessage="1" sqref="N2:N4 N7:N20">
      <formula1>"High,Moderate,Low"</formula1>
    </dataValidation>
    <dataValidation type="list" allowBlank="1" showInputMessage="1" showErrorMessage="1" sqref="O2:O20">
      <formula1>"Collected,Reviewed,Cited,Excluded"</formula1>
    </dataValidation>
    <dataValidation type="list" allowBlank="1" showInputMessage="1" showErrorMessage="1" sqref="E7:E20">
      <formula1>"Federal court document,DOJ / U.S. Attorney release,FBI resource,Government report,Peer-reviewed research,NGO / hotline report,Investigative journalism,Other"</formula1>
    </dataValidation>
  </dataValidations>
  <hyperlinks>
    <hyperlink ref="F2" r:id="rId1" location="" tooltip="" display="https://www.gao.gov/assets/gao-22-105101.pdf"/>
    <hyperlink ref="F3" r:id="rId2" location="" tooltip="" display="https://www.gao.gov/assets/gao-21-385.pdf"/>
    <hyperlink ref="F4" r:id="rId3" location="" tooltip="" display="https://www.justice.gov/d9/press-releases/attachments/2022/01/31/doj_ht_strategy.pdf?utm_source=chatgpt.com"/>
    <hyperlink ref="F5" r:id="rId4" location="" tooltip="" display="https://traffickinginstitute.org/wp-content/uploads/2024/06/2023-Federal-Human-Trafficking-Report-WEB-Spreads-LR.pdf?utm_source=chatgpt.com"/>
    <hyperlink ref="F6" r:id="rId5" location="" tooltip="" display="https://humantraffickinghotline.org/en/statistics?utm_source=chatgpt.com"/>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35"/>
  <sheetViews>
    <sheetView workbookViewId="0" showGridLines="0" defaultGridColor="1"/>
  </sheetViews>
  <sheetFormatPr defaultColWidth="8.83333" defaultRowHeight="15" customHeight="1" outlineLevelRow="0" outlineLevelCol="0"/>
  <cols>
    <col min="1" max="1" width="22" style="31" customWidth="1"/>
    <col min="2" max="2" width="26" style="31" customWidth="1"/>
    <col min="3" max="3" width="68" style="31" customWidth="1"/>
    <col min="4" max="5" width="8.85156" style="31" customWidth="1"/>
    <col min="6" max="16384" width="8.85156" style="31" customWidth="1"/>
  </cols>
  <sheetData>
    <row r="1" ht="15" customHeight="1">
      <c r="A1" t="s" s="32">
        <v>54</v>
      </c>
      <c r="B1" t="s" s="33">
        <v>55</v>
      </c>
      <c r="C1" t="s" s="33">
        <v>56</v>
      </c>
      <c r="D1" s="34"/>
      <c r="E1" s="35"/>
    </row>
    <row r="2" ht="15" customHeight="1">
      <c r="A2" t="s" s="36">
        <v>10</v>
      </c>
      <c r="B2" t="s" s="36">
        <v>57</v>
      </c>
      <c r="C2" t="s" s="36">
        <v>58</v>
      </c>
      <c r="D2" s="35"/>
      <c r="E2" s="35"/>
    </row>
    <row r="3" ht="15" customHeight="1">
      <c r="A3" t="s" s="37">
        <v>10</v>
      </c>
      <c r="B3" t="s" s="37">
        <v>59</v>
      </c>
      <c r="C3" t="s" s="37">
        <v>60</v>
      </c>
      <c r="D3" s="35"/>
      <c r="E3" s="35"/>
    </row>
    <row r="4" ht="15" customHeight="1">
      <c r="A4" t="s" s="37">
        <v>10</v>
      </c>
      <c r="B4" t="s" s="37">
        <v>61</v>
      </c>
      <c r="C4" t="s" s="37">
        <v>62</v>
      </c>
      <c r="D4" s="35"/>
      <c r="E4" s="35"/>
    </row>
    <row r="5" ht="15" customHeight="1">
      <c r="A5" t="s" s="37">
        <v>10</v>
      </c>
      <c r="B5" t="s" s="37">
        <v>63</v>
      </c>
      <c r="C5" t="s" s="37">
        <v>64</v>
      </c>
      <c r="D5" s="35"/>
      <c r="E5" s="35"/>
    </row>
    <row r="6" ht="15" customHeight="1">
      <c r="A6" t="s" s="37">
        <v>10</v>
      </c>
      <c r="B6" t="s" s="37">
        <v>65</v>
      </c>
      <c r="C6" t="s" s="37">
        <v>66</v>
      </c>
      <c r="D6" s="35"/>
      <c r="E6" s="35"/>
    </row>
    <row r="7" ht="15" customHeight="1">
      <c r="A7" t="s" s="37">
        <v>10</v>
      </c>
      <c r="B7" t="s" s="37">
        <v>67</v>
      </c>
      <c r="C7" t="s" s="37">
        <v>68</v>
      </c>
      <c r="D7" s="35"/>
      <c r="E7" s="35"/>
    </row>
    <row r="8" ht="15" customHeight="1">
      <c r="A8" t="s" s="37">
        <v>10</v>
      </c>
      <c r="B8" t="s" s="37">
        <v>69</v>
      </c>
      <c r="C8" t="s" s="37">
        <v>70</v>
      </c>
      <c r="D8" s="35"/>
      <c r="E8" s="35"/>
    </row>
    <row r="9" ht="15" customHeight="1">
      <c r="A9" t="s" s="37">
        <v>10</v>
      </c>
      <c r="B9" t="s" s="37">
        <v>71</v>
      </c>
      <c r="C9" t="s" s="37">
        <v>72</v>
      </c>
      <c r="D9" s="35"/>
      <c r="E9" s="35"/>
    </row>
    <row r="10" ht="15" customHeight="1">
      <c r="A10" t="s" s="37">
        <v>12</v>
      </c>
      <c r="B10" t="s" s="37">
        <v>44</v>
      </c>
      <c r="C10" t="s" s="37">
        <v>73</v>
      </c>
      <c r="D10" s="35"/>
      <c r="E10" s="35"/>
    </row>
    <row r="11" ht="15" customHeight="1">
      <c r="A11" t="s" s="37">
        <v>12</v>
      </c>
      <c r="B11" t="s" s="37">
        <v>74</v>
      </c>
      <c r="C11" t="s" s="37">
        <v>75</v>
      </c>
      <c r="D11" s="35"/>
      <c r="E11" s="35"/>
    </row>
    <row r="12" ht="15" customHeight="1">
      <c r="A12" t="s" s="37">
        <v>12</v>
      </c>
      <c r="B12" t="s" s="37">
        <v>76</v>
      </c>
      <c r="C12" t="s" s="37">
        <v>77</v>
      </c>
      <c r="D12" s="35"/>
      <c r="E12" s="35"/>
    </row>
    <row r="13" ht="15" customHeight="1">
      <c r="A13" t="s" s="37">
        <v>12</v>
      </c>
      <c r="B13" t="s" s="37">
        <v>78</v>
      </c>
      <c r="C13" t="s" s="37">
        <v>79</v>
      </c>
      <c r="D13" s="35"/>
      <c r="E13" s="35"/>
    </row>
    <row r="14" ht="15" customHeight="1">
      <c r="A14" t="s" s="37">
        <v>13</v>
      </c>
      <c r="B14" t="s" s="37">
        <v>45</v>
      </c>
      <c r="C14" t="s" s="37">
        <v>80</v>
      </c>
      <c r="D14" s="35"/>
      <c r="E14" s="35"/>
    </row>
    <row r="15" ht="15" customHeight="1">
      <c r="A15" t="s" s="37">
        <v>13</v>
      </c>
      <c r="B15" t="s" s="37">
        <v>81</v>
      </c>
      <c r="C15" t="s" s="37">
        <v>82</v>
      </c>
      <c r="D15" s="35"/>
      <c r="E15" s="35"/>
    </row>
    <row r="16" ht="15" customHeight="1">
      <c r="A16" t="s" s="37">
        <v>13</v>
      </c>
      <c r="B16" t="s" s="37">
        <v>83</v>
      </c>
      <c r="C16" t="s" s="37">
        <v>84</v>
      </c>
      <c r="D16" s="35"/>
      <c r="E16" s="35"/>
    </row>
    <row r="17" ht="15" customHeight="1">
      <c r="A17" t="s" s="37">
        <v>13</v>
      </c>
      <c r="B17" t="s" s="37">
        <v>85</v>
      </c>
      <c r="C17" t="s" s="37">
        <v>86</v>
      </c>
      <c r="D17" s="35"/>
      <c r="E17" s="35"/>
    </row>
    <row r="18" ht="15" customHeight="1">
      <c r="A18" t="s" s="37">
        <v>13</v>
      </c>
      <c r="B18" t="s" s="37">
        <v>87</v>
      </c>
      <c r="C18" t="s" s="37">
        <v>88</v>
      </c>
      <c r="D18" s="35"/>
      <c r="E18" s="35"/>
    </row>
    <row r="19" ht="15" customHeight="1">
      <c r="A19" t="s" s="37">
        <v>13</v>
      </c>
      <c r="B19" t="s" s="37">
        <v>89</v>
      </c>
      <c r="C19" t="s" s="37">
        <v>90</v>
      </c>
      <c r="D19" s="35"/>
      <c r="E19" s="35"/>
    </row>
    <row r="20" ht="15" customHeight="1">
      <c r="A20" t="s" s="37">
        <v>13</v>
      </c>
      <c r="B20" t="s" s="37">
        <v>91</v>
      </c>
      <c r="C20" t="s" s="37">
        <v>92</v>
      </c>
      <c r="D20" s="35"/>
      <c r="E20" s="35"/>
    </row>
    <row r="21" ht="15" customHeight="1">
      <c r="A21" t="s" s="37">
        <v>13</v>
      </c>
      <c r="B21" t="s" s="37">
        <v>93</v>
      </c>
      <c r="C21" t="s" s="37">
        <v>94</v>
      </c>
      <c r="D21" s="35"/>
      <c r="E21" s="35"/>
    </row>
    <row r="22" ht="15" customHeight="1">
      <c r="A22" t="s" s="37">
        <v>13</v>
      </c>
      <c r="B22" t="s" s="37">
        <v>95</v>
      </c>
      <c r="C22" t="s" s="37">
        <v>96</v>
      </c>
      <c r="D22" s="35"/>
      <c r="E22" s="35"/>
    </row>
    <row r="23" ht="15" customHeight="1">
      <c r="A23" t="s" s="37">
        <v>16</v>
      </c>
      <c r="B23" t="s" s="37">
        <v>46</v>
      </c>
      <c r="C23" t="s" s="37">
        <v>97</v>
      </c>
      <c r="D23" s="35"/>
      <c r="E23" s="35"/>
    </row>
    <row r="24" ht="15" customHeight="1">
      <c r="A24" t="s" s="37">
        <v>16</v>
      </c>
      <c r="B24" t="s" s="37">
        <v>98</v>
      </c>
      <c r="C24" t="s" s="37">
        <v>99</v>
      </c>
      <c r="D24" s="35"/>
      <c r="E24" s="35"/>
    </row>
    <row r="25" ht="15" customHeight="1">
      <c r="A25" t="s" s="37">
        <v>16</v>
      </c>
      <c r="B25" t="s" s="37">
        <v>100</v>
      </c>
      <c r="C25" t="s" s="37">
        <v>101</v>
      </c>
      <c r="D25" s="35"/>
      <c r="E25" s="35"/>
    </row>
    <row r="26" ht="15" customHeight="1">
      <c r="A26" t="s" s="37">
        <v>16</v>
      </c>
      <c r="B26" t="s" s="37">
        <v>102</v>
      </c>
      <c r="C26" t="s" s="37">
        <v>103</v>
      </c>
      <c r="D26" s="35"/>
      <c r="E26" s="35"/>
    </row>
    <row r="27" ht="15" customHeight="1">
      <c r="A27" t="s" s="37">
        <v>16</v>
      </c>
      <c r="B27" t="s" s="37">
        <v>104</v>
      </c>
      <c r="C27" t="s" s="37">
        <v>105</v>
      </c>
      <c r="D27" s="35"/>
      <c r="E27" s="35"/>
    </row>
    <row r="28" ht="15" customHeight="1">
      <c r="A28" t="s" s="37">
        <v>16</v>
      </c>
      <c r="B28" t="s" s="37">
        <v>106</v>
      </c>
      <c r="C28" t="s" s="37">
        <v>107</v>
      </c>
      <c r="D28" s="35"/>
      <c r="E28" s="35"/>
    </row>
    <row r="29" ht="27" customHeight="1">
      <c r="A29" t="s" s="37">
        <v>19</v>
      </c>
      <c r="B29" t="s" s="37">
        <v>28</v>
      </c>
      <c r="C29" t="s" s="37">
        <v>108</v>
      </c>
      <c r="D29" s="35"/>
      <c r="E29" s="35"/>
    </row>
    <row r="30" ht="15" customHeight="1">
      <c r="A30" t="s" s="37">
        <v>19</v>
      </c>
      <c r="B30" t="s" s="37">
        <v>109</v>
      </c>
      <c r="C30" t="s" s="37">
        <v>110</v>
      </c>
      <c r="D30" s="35"/>
      <c r="E30" s="35"/>
    </row>
    <row r="31" ht="15" customHeight="1">
      <c r="A31" t="s" s="37">
        <v>19</v>
      </c>
      <c r="B31" t="s" s="37">
        <v>111</v>
      </c>
      <c r="C31" t="s" s="37">
        <v>112</v>
      </c>
      <c r="D31" s="35"/>
      <c r="E31" s="35"/>
    </row>
    <row r="32" ht="15" customHeight="1">
      <c r="A32" t="s" s="37">
        <v>20</v>
      </c>
      <c r="B32" t="s" s="37">
        <v>29</v>
      </c>
      <c r="C32" t="s" s="37">
        <v>113</v>
      </c>
      <c r="D32" s="35"/>
      <c r="E32" s="35"/>
    </row>
    <row r="33" ht="15" customHeight="1">
      <c r="A33" t="s" s="37">
        <v>20</v>
      </c>
      <c r="B33" t="s" s="37">
        <v>114</v>
      </c>
      <c r="C33" t="s" s="37">
        <v>115</v>
      </c>
      <c r="D33" s="35"/>
      <c r="E33" s="35"/>
    </row>
    <row r="34" ht="15" customHeight="1">
      <c r="A34" t="s" s="37">
        <v>20</v>
      </c>
      <c r="B34" t="s" s="37">
        <v>116</v>
      </c>
      <c r="C34" t="s" s="37">
        <v>117</v>
      </c>
      <c r="D34" s="35"/>
      <c r="E34" s="35"/>
    </row>
    <row r="35" ht="15" customHeight="1">
      <c r="A35" t="s" s="37">
        <v>20</v>
      </c>
      <c r="B35" t="s" s="37">
        <v>118</v>
      </c>
      <c r="C35" t="s" s="37">
        <v>119</v>
      </c>
      <c r="D35" s="35"/>
      <c r="E35" s="3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29"/>
  <sheetViews>
    <sheetView workbookViewId="0" showGridLines="0" defaultGridColor="1"/>
  </sheetViews>
  <sheetFormatPr defaultColWidth="8.83333" defaultRowHeight="15" customHeight="1" outlineLevelRow="0" outlineLevelCol="0"/>
  <cols>
    <col min="1" max="1" width="26" style="38" customWidth="1"/>
    <col min="2" max="2" width="14" style="38" customWidth="1"/>
    <col min="3" max="3" width="8.85156" style="38" customWidth="1"/>
    <col min="4" max="4" width="32" style="38" customWidth="1"/>
    <col min="5" max="5" width="12" style="38" customWidth="1"/>
    <col min="6" max="9" width="8.85156" style="38" customWidth="1"/>
    <col min="10" max="16384" width="8.85156" style="38" customWidth="1"/>
  </cols>
  <sheetData>
    <row r="1" ht="34" customHeight="1">
      <c r="A1" t="s" s="39">
        <v>121</v>
      </c>
      <c r="B1" s="34"/>
      <c r="C1" s="35"/>
      <c r="D1" s="35"/>
      <c r="E1" s="35"/>
      <c r="F1" s="35"/>
      <c r="G1" s="35"/>
      <c r="H1" s="35"/>
      <c r="I1" s="35"/>
    </row>
    <row r="2" ht="15" customHeight="1">
      <c r="A2" s="40"/>
      <c r="B2" s="41"/>
      <c r="C2" s="35"/>
      <c r="D2" s="41"/>
      <c r="E2" s="41"/>
      <c r="F2" s="35"/>
      <c r="G2" s="35"/>
      <c r="H2" s="35"/>
      <c r="I2" s="35"/>
    </row>
    <row r="3" ht="15" customHeight="1">
      <c r="A3" t="s" s="42">
        <v>122</v>
      </c>
      <c r="B3" t="s" s="43">
        <v>123</v>
      </c>
      <c r="C3" s="44"/>
      <c r="D3" t="s" s="43">
        <v>10</v>
      </c>
      <c r="E3" t="s" s="43">
        <v>123</v>
      </c>
      <c r="F3" s="34"/>
      <c r="G3" s="35"/>
      <c r="H3" s="35"/>
      <c r="I3" s="35"/>
    </row>
    <row r="4" ht="15" customHeight="1">
      <c r="A4" t="s" s="45">
        <v>124</v>
      </c>
      <c r="B4" s="46">
        <f>COUNTIF('Evidence Log'!$C$2:$C$20,"&lt;&gt;")</f>
        <v>5</v>
      </c>
      <c r="C4" s="35"/>
      <c r="D4" t="s" s="45">
        <v>57</v>
      </c>
      <c r="E4" s="46">
        <f>COUNTIF('Evidence Log'!$E$2:$E$20,D4)</f>
        <v>0</v>
      </c>
      <c r="F4" s="35"/>
      <c r="G4" s="35"/>
      <c r="H4" s="35"/>
      <c r="I4" s="35"/>
    </row>
    <row r="5" ht="15" customHeight="1">
      <c r="A5" t="s" s="47">
        <v>125</v>
      </c>
      <c r="B5" s="48">
        <f>COUNTIF('Evidence Log'!$O$2:$O$20,"Reviewed")</f>
        <v>0</v>
      </c>
      <c r="C5" s="35"/>
      <c r="D5" t="s" s="47">
        <v>59</v>
      </c>
      <c r="E5" s="48">
        <f>COUNTIF('Evidence Log'!$E$2:$E$20,D5)</f>
        <v>0</v>
      </c>
      <c r="F5" s="35"/>
      <c r="G5" s="35"/>
      <c r="H5" s="35"/>
      <c r="I5" s="35"/>
    </row>
    <row r="6" ht="15" customHeight="1">
      <c r="A6" t="s" s="47">
        <v>126</v>
      </c>
      <c r="B6" s="48">
        <f>COUNTIF('Evidence Log'!$O$2:$O$20,"Cited")</f>
        <v>0</v>
      </c>
      <c r="C6" s="35"/>
      <c r="D6" t="s" s="47">
        <v>61</v>
      </c>
      <c r="E6" s="48">
        <f>COUNTIF('Evidence Log'!$E$2:$E$20,D6)</f>
        <v>0</v>
      </c>
      <c r="F6" s="35"/>
      <c r="G6" s="35"/>
      <c r="H6" s="35"/>
      <c r="I6" s="35"/>
    </row>
    <row r="7" ht="15" customHeight="1">
      <c r="A7" t="s" s="47">
        <v>127</v>
      </c>
      <c r="B7" s="48">
        <f>COUNTIF('Evidence Log'!$O$2:$O$20,"Excluded")</f>
        <v>0</v>
      </c>
      <c r="C7" s="35"/>
      <c r="D7" t="s" s="47">
        <v>63</v>
      </c>
      <c r="E7" s="48">
        <f>COUNTIF('Evidence Log'!$E$2:$E$20,D7)</f>
        <v>2</v>
      </c>
      <c r="F7" s="35"/>
      <c r="G7" s="35"/>
      <c r="H7" s="35"/>
      <c r="I7" s="35"/>
    </row>
    <row r="8" ht="15" customHeight="1">
      <c r="A8" s="35"/>
      <c r="B8" s="35"/>
      <c r="C8" s="35"/>
      <c r="D8" t="s" s="47">
        <v>65</v>
      </c>
      <c r="E8" s="48">
        <f>COUNTIF('Evidence Log'!$E$2:$E$20,D8)</f>
        <v>0</v>
      </c>
      <c r="F8" s="35"/>
      <c r="G8" s="35"/>
      <c r="H8" s="35"/>
      <c r="I8" s="35"/>
    </row>
    <row r="9" ht="15" customHeight="1">
      <c r="A9" s="35"/>
      <c r="B9" s="35"/>
      <c r="C9" s="35"/>
      <c r="D9" t="s" s="47">
        <v>67</v>
      </c>
      <c r="E9" s="48">
        <f>COUNTIF('Evidence Log'!$E$2:$E$20,D9)</f>
        <v>0</v>
      </c>
      <c r="F9" s="35"/>
      <c r="G9" s="35"/>
      <c r="H9" s="35"/>
      <c r="I9" s="35"/>
    </row>
    <row r="10" ht="15" customHeight="1">
      <c r="A10" s="35"/>
      <c r="B10" s="35"/>
      <c r="C10" s="35"/>
      <c r="D10" t="s" s="47">
        <v>69</v>
      </c>
      <c r="E10" s="48">
        <f>COUNTIF('Evidence Log'!$E$2:$E$20,D10)</f>
        <v>0</v>
      </c>
      <c r="F10" s="35"/>
      <c r="G10" s="35"/>
      <c r="H10" s="35"/>
      <c r="I10" s="35"/>
    </row>
    <row r="11" ht="15" customHeight="1">
      <c r="A11" s="35"/>
      <c r="B11" s="35"/>
      <c r="C11" s="35"/>
      <c r="D11" t="s" s="47">
        <v>71</v>
      </c>
      <c r="E11" s="48">
        <f>COUNTIF('Evidence Log'!$E$2:$E$20,D11)</f>
        <v>0</v>
      </c>
      <c r="F11" s="35"/>
      <c r="G11" s="35"/>
      <c r="H11" s="35"/>
      <c r="I11" s="35"/>
    </row>
    <row r="12" ht="15" customHeight="1">
      <c r="A12" s="35"/>
      <c r="B12" s="35"/>
      <c r="C12" s="35"/>
      <c r="D12" s="35"/>
      <c r="E12" s="35"/>
      <c r="F12" s="35"/>
      <c r="G12" s="35"/>
      <c r="H12" s="35"/>
      <c r="I12" s="35"/>
    </row>
    <row r="13" ht="15" customHeight="1">
      <c r="A13" s="35"/>
      <c r="B13" s="35"/>
      <c r="C13" s="35"/>
      <c r="D13" s="35"/>
      <c r="E13" s="35"/>
      <c r="F13" s="35"/>
      <c r="G13" s="35"/>
      <c r="H13" s="35"/>
      <c r="I13" s="35"/>
    </row>
    <row r="14" ht="15" customHeight="1">
      <c r="A14" s="35"/>
      <c r="B14" s="35"/>
      <c r="C14" s="35"/>
      <c r="D14" s="35"/>
      <c r="E14" s="35"/>
      <c r="F14" s="35"/>
      <c r="G14" s="35"/>
      <c r="H14" s="35"/>
      <c r="I14" s="35"/>
    </row>
    <row r="15" ht="15" customHeight="1">
      <c r="A15" s="35"/>
      <c r="B15" s="35"/>
      <c r="C15" s="35"/>
      <c r="D15" s="35"/>
      <c r="E15" s="35"/>
      <c r="F15" s="35"/>
      <c r="G15" s="35"/>
      <c r="H15" s="35"/>
      <c r="I15" s="35"/>
    </row>
    <row r="16" ht="15" customHeight="1">
      <c r="A16" s="35"/>
      <c r="B16" s="35"/>
      <c r="C16" s="35"/>
      <c r="D16" s="35"/>
      <c r="E16" s="35"/>
      <c r="F16" s="35"/>
      <c r="G16" s="35"/>
      <c r="H16" s="35"/>
      <c r="I16" s="35"/>
    </row>
    <row r="17" ht="15" customHeight="1">
      <c r="A17" s="35"/>
      <c r="B17" s="35"/>
      <c r="C17" s="35"/>
      <c r="D17" s="35"/>
      <c r="E17" s="35"/>
      <c r="F17" s="35"/>
      <c r="G17" s="35"/>
      <c r="H17" s="35"/>
      <c r="I17" s="35"/>
    </row>
    <row r="18" ht="15" customHeight="1">
      <c r="A18" s="35"/>
      <c r="B18" s="35"/>
      <c r="C18" s="35"/>
      <c r="D18" s="35"/>
      <c r="E18" s="35"/>
      <c r="F18" s="35"/>
      <c r="G18" s="35"/>
      <c r="H18" s="35"/>
      <c r="I18" s="35"/>
    </row>
    <row r="19" ht="15" customHeight="1">
      <c r="A19" s="35"/>
      <c r="B19" s="35"/>
      <c r="C19" s="35"/>
      <c r="D19" s="35"/>
      <c r="E19" s="35"/>
      <c r="F19" s="35"/>
      <c r="G19" s="35"/>
      <c r="H19" s="35"/>
      <c r="I19" s="35"/>
    </row>
    <row r="20" ht="15" customHeight="1">
      <c r="A20" s="35"/>
      <c r="B20" s="35"/>
      <c r="C20" s="35"/>
      <c r="D20" s="35"/>
      <c r="E20" s="35"/>
      <c r="F20" s="35"/>
      <c r="G20" s="35"/>
      <c r="H20" s="35"/>
      <c r="I20" s="35"/>
    </row>
    <row r="21" ht="15" customHeight="1">
      <c r="A21" s="35"/>
      <c r="B21" s="35"/>
      <c r="C21" s="35"/>
      <c r="D21" s="35"/>
      <c r="E21" s="35"/>
      <c r="F21" s="35"/>
      <c r="G21" s="35"/>
      <c r="H21" s="35"/>
      <c r="I21" s="35"/>
    </row>
    <row r="22" ht="15" customHeight="1">
      <c r="A22" s="35"/>
      <c r="B22" s="35"/>
      <c r="C22" s="35"/>
      <c r="D22" s="35"/>
      <c r="E22" s="35"/>
      <c r="F22" s="35"/>
      <c r="G22" s="35"/>
      <c r="H22" s="35"/>
      <c r="I22" s="35"/>
    </row>
    <row r="23" ht="15" customHeight="1">
      <c r="A23" s="35"/>
      <c r="B23" s="35"/>
      <c r="C23" s="35"/>
      <c r="D23" s="35"/>
      <c r="E23" s="35"/>
      <c r="F23" s="35"/>
      <c r="G23" s="35"/>
      <c r="H23" s="35"/>
      <c r="I23" s="35"/>
    </row>
    <row r="24" ht="15" customHeight="1">
      <c r="A24" s="35"/>
      <c r="B24" s="35"/>
      <c r="C24" s="35"/>
      <c r="D24" s="35"/>
      <c r="E24" s="35"/>
      <c r="F24" s="35"/>
      <c r="G24" s="35"/>
      <c r="H24" s="35"/>
      <c r="I24" s="35"/>
    </row>
    <row r="25" ht="15" customHeight="1">
      <c r="A25" s="35"/>
      <c r="B25" s="35"/>
      <c r="C25" s="35"/>
      <c r="D25" s="35"/>
      <c r="E25" s="35"/>
      <c r="F25" s="35"/>
      <c r="G25" s="35"/>
      <c r="H25" s="35"/>
      <c r="I25" s="35"/>
    </row>
    <row r="26" ht="15" customHeight="1">
      <c r="A26" s="35"/>
      <c r="B26" s="35"/>
      <c r="C26" s="35"/>
      <c r="D26" s="35"/>
      <c r="E26" s="35"/>
      <c r="F26" s="35"/>
      <c r="G26" s="35"/>
      <c r="H26" s="35"/>
      <c r="I26" s="35"/>
    </row>
    <row r="27" ht="15" customHeight="1">
      <c r="A27" s="35"/>
      <c r="B27" s="35"/>
      <c r="C27" s="35"/>
      <c r="D27" s="35"/>
      <c r="E27" s="35"/>
      <c r="F27" s="35"/>
      <c r="G27" s="35"/>
      <c r="H27" s="35"/>
      <c r="I27" s="35"/>
    </row>
    <row r="28" ht="15" customHeight="1">
      <c r="A28" s="35"/>
      <c r="B28" s="35"/>
      <c r="C28" s="35"/>
      <c r="D28" s="35"/>
      <c r="E28" s="35"/>
      <c r="F28" s="35"/>
      <c r="G28" s="35"/>
      <c r="H28" s="35"/>
      <c r="I28" s="35"/>
    </row>
    <row r="29" ht="15" customHeight="1">
      <c r="A29" s="35"/>
      <c r="B29" s="35"/>
      <c r="C29" s="35"/>
      <c r="D29" s="35"/>
      <c r="E29" s="35"/>
      <c r="F29" s="35"/>
      <c r="G29" s="35"/>
      <c r="H29" s="35"/>
      <c r="I29" s="35"/>
    </row>
  </sheetData>
  <mergeCells count="1">
    <mergeCell ref="A1:H1"/>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H11"/>
  <sheetViews>
    <sheetView workbookViewId="0" showGridLines="0" defaultGridColor="1"/>
  </sheetViews>
  <sheetFormatPr defaultColWidth="8.83333" defaultRowHeight="15" customHeight="1" outlineLevelRow="0" outlineLevelCol="0"/>
  <cols>
    <col min="1" max="1" width="12" style="49" customWidth="1"/>
    <col min="2" max="2" width="70" style="49" customWidth="1"/>
    <col min="3" max="8" width="8.85156" style="49" customWidth="1"/>
    <col min="9" max="16384" width="8.85156" style="49" customWidth="1"/>
  </cols>
  <sheetData>
    <row r="1" ht="34" customHeight="1">
      <c r="A1" t="s" s="50">
        <v>129</v>
      </c>
      <c r="B1" s="34"/>
      <c r="C1" s="35"/>
      <c r="D1" s="35"/>
      <c r="E1" s="35"/>
      <c r="F1" s="35"/>
      <c r="G1" s="35"/>
      <c r="H1" s="35"/>
    </row>
    <row r="2" ht="15" customHeight="1">
      <c r="A2" s="40"/>
      <c r="B2" s="35"/>
      <c r="C2" s="35"/>
      <c r="D2" s="35"/>
      <c r="E2" s="35"/>
      <c r="F2" s="35"/>
      <c r="G2" s="35"/>
      <c r="H2" s="35"/>
    </row>
    <row r="3" ht="15.35" customHeight="1">
      <c r="A3" t="s" s="51">
        <v>130</v>
      </c>
      <c r="B3" s="34"/>
      <c r="C3" s="35"/>
      <c r="D3" s="35"/>
      <c r="E3" s="35"/>
      <c r="F3" s="35"/>
      <c r="G3" s="35"/>
      <c r="H3" s="35"/>
    </row>
    <row r="4" ht="15" customHeight="1">
      <c r="A4" s="40"/>
      <c r="B4" s="41"/>
      <c r="C4" s="35"/>
      <c r="D4" s="35"/>
      <c r="E4" s="35"/>
      <c r="F4" s="35"/>
      <c r="G4" s="35"/>
      <c r="H4" s="35"/>
    </row>
    <row r="5" ht="15" customHeight="1">
      <c r="A5" t="s" s="52">
        <v>131</v>
      </c>
      <c r="B5" t="s" s="53">
        <v>132</v>
      </c>
      <c r="C5" s="34"/>
      <c r="D5" s="35"/>
      <c r="E5" s="35"/>
      <c r="F5" s="35"/>
      <c r="G5" s="35"/>
      <c r="H5" s="35"/>
    </row>
    <row r="6" ht="15" customHeight="1">
      <c r="A6" t="s" s="36">
        <v>133</v>
      </c>
      <c r="B6" t="s" s="36">
        <v>134</v>
      </c>
      <c r="C6" s="35"/>
      <c r="D6" s="35"/>
      <c r="E6" s="35"/>
      <c r="F6" s="35"/>
      <c r="G6" s="35"/>
      <c r="H6" s="35"/>
    </row>
    <row r="7" ht="27" customHeight="1">
      <c r="A7" t="s" s="37">
        <v>135</v>
      </c>
      <c r="B7" t="s" s="37">
        <v>136</v>
      </c>
      <c r="C7" s="35"/>
      <c r="D7" s="35"/>
      <c r="E7" s="35"/>
      <c r="F7" s="35"/>
      <c r="G7" s="35"/>
      <c r="H7" s="35"/>
    </row>
    <row r="8" ht="27" customHeight="1">
      <c r="A8" t="s" s="37">
        <v>137</v>
      </c>
      <c r="B8" t="s" s="37">
        <v>138</v>
      </c>
      <c r="C8" s="35"/>
      <c r="D8" s="35"/>
      <c r="E8" s="35"/>
      <c r="F8" s="35"/>
      <c r="G8" s="35"/>
      <c r="H8" s="35"/>
    </row>
    <row r="9" ht="15" customHeight="1">
      <c r="A9" t="s" s="37">
        <v>139</v>
      </c>
      <c r="B9" t="s" s="37">
        <v>140</v>
      </c>
      <c r="C9" s="35"/>
      <c r="D9" s="35"/>
      <c r="E9" s="35"/>
      <c r="F9" s="35"/>
      <c r="G9" s="35"/>
      <c r="H9" s="35"/>
    </row>
    <row r="10" ht="15" customHeight="1">
      <c r="A10" t="s" s="37">
        <v>141</v>
      </c>
      <c r="B10" t="s" s="37">
        <v>142</v>
      </c>
      <c r="C10" s="35"/>
      <c r="D10" s="35"/>
      <c r="E10" s="35"/>
      <c r="F10" s="35"/>
      <c r="G10" s="35"/>
      <c r="H10" s="35"/>
    </row>
    <row r="11" ht="15" customHeight="1">
      <c r="A11" t="s" s="37">
        <v>143</v>
      </c>
      <c r="B11" t="s" s="37">
        <v>144</v>
      </c>
      <c r="C11" s="35"/>
      <c r="D11" s="35"/>
      <c r="E11" s="35"/>
      <c r="F11" s="35"/>
      <c r="G11" s="35"/>
      <c r="H11" s="35"/>
    </row>
  </sheetData>
  <mergeCells count="2">
    <mergeCell ref="A1:H1"/>
    <mergeCell ref="A3:H3"/>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