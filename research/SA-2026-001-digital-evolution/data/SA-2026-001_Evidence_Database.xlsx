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2f8e398c8546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Log" sheetId="1" r:id="Re44a36e9a9ba4c0e"/>
    <x:sheet xmlns:r="http://schemas.openxmlformats.org/officeDocument/2006/relationships" name="Coding Guide" sheetId="2" r:id="R52c79175d8e44e11"/>
    <x:sheet xmlns:r="http://schemas.openxmlformats.org/officeDocument/2006/relationships" name="Summary" sheetId="3" r:id="R06cb574245d1436a"/>
    <x:sheet xmlns:r="http://schemas.openxmlformats.org/officeDocument/2006/relationships" name="Start Here" sheetId="4" r:id="Rd577e5a4ca474c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2"/>
      <x:color rgb="FF1F2933"/>
      <x:name val="Carlito"/>
    </x:font>
    <x:font>
      <x:b/>
      <x:sz val="11"/>
      <x:color rgb="FF0B1F33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1E7CC"/>
      </x:patternFill>
    </x:fill>
    <x:fill>
      <x:patternFill patternType="solid">
        <x:fgColor rgb="FFC7A45A"/>
      </x:patternFill>
    </x:fill>
    <x:fill>
      <x:patternFill patternType="solid">
        <x:fgColor rgb="FFF7F4EC"/>
      </x:patternFill>
    </x:fill>
  </x:fills>
  <x:borders count="4">
    <x:border/>
    <x:border/>
    <x:border>
      <x:bottom/>
    </x:border>
    <x:border>
      <x:bottom/>
    </x:border>
  </x:borders>
  <x:cellStyleXfs count="1">
    <x:xf numFmtId="0" fontId="0" fillId="0" borderId="0"/>
  </x:cellStyleXfs>
  <x:cellXfs count="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200" fontId="0" fillId="5" borderId="0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200" fontId="0" fillId="5" borderId="2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200" fontId="0" fillId="5" borderId="1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200" fontId="0" fillId="5" borderId="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</x:cellXfs>
  <x:cellStyles count="1">
    <x:cellStyle name="Normal" xfId="0"/>
  </x:cellStyles>
  <x:dxfs count="5">
    <x:dxf>
      <x:font>
        <x:color rgb="FF1F2933"/>
      </x:font>
      <x:fill>
        <x:patternFill patternType="solid">
          <x:bgColor rgb="FFF1E7CC"/>
        </x:patternFill>
      </x:fill>
    </x:dxf>
    <x:dxf>
      <x:font>
        <x:color rgb="FF1F2933"/>
      </x:font>
      <x:fill>
        <x:patternFill patternType="solid">
          <x:bgColor rgb="FFDDE7F0"/>
        </x:patternFill>
      </x:fill>
    </x:dxf>
    <x:dxf>
      <x:font>
        <x:color rgb="FF1F2933"/>
      </x:font>
      <x:fill>
        <x:patternFill patternType="solid">
          <x:bgColor rgb="FFDCEFE3"/>
        </x:patternFill>
      </x:fill>
    </x:dxf>
    <x:dxf>
      <x:font>
        <x:color rgb="FF6B7280"/>
      </x:font>
      <x:fill>
        <x:patternFill patternType="solid">
          <x:bgColor rgb="FFEEF1F4"/>
        </x:patternFill>
      </x:fill>
    </x:dxf>
    <x:dxf>
      <x:font>
        <x:color rgb="FF8B1E1E"/>
      </x:font>
      <x:fill>
        <x:patternFill patternType="solid">
          <x:bgColor rgb="FFF9DED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6c2502ec07462f" /><Relationship Type="http://schemas.openxmlformats.org/officeDocument/2006/relationships/theme" Target="/xl/theme/theme1.xml" Id="Rfc6674cd1fb14415" /><Relationship Type="http://schemas.openxmlformats.org/officeDocument/2006/relationships/sharedStrings" Target="/xl/sharedStrings.xml" Id="R80bcf3ff93c74af8" /><Relationship Type="http://schemas.openxmlformats.org/officeDocument/2006/relationships/worksheet" Target="/xl/worksheets/sheet1.xml" Id="Re44a36e9a9ba4c0e" /><Relationship Type="http://schemas.openxmlformats.org/officeDocument/2006/relationships/worksheet" Target="/xl/worksheets/sheet2.xml" Id="R52c79175d8e44e11" /><Relationship Type="http://schemas.openxmlformats.org/officeDocument/2006/relationships/worksheet" Target="/xl/worksheets/sheet3.xml" Id="R06cb574245d1436a" /><Relationship Type="http://schemas.openxmlformats.org/officeDocument/2006/relationships/worksheet" Target="/xl/worksheets/sheet4.xml" Id="Rd577e5a4ca474c1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73fbc693c347f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Sources by Type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'Summary'!$D$4:$D$11</c:f>
              <c:strCache>
                <c:ptCount val="0"/>
              </c:strCache>
            </c:strRef>
          </c:cat>
          <c:val>
            <c:numRef>
              <c:f>'Summary'!$E$4:$E$11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73fbc693c347f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idenceTable" displayName="EvidenceTable" ref="A1:R501" headerRowCount="1">
  <x:tableColumns count="18">
    <x:tableColumn id="1" name="Record ID"/>
    <x:tableColumn id="2" name="Source Date"/>
    <x:tableColumn id="3" name="Source Title"/>
    <x:tableColumn id="4" name="Publisher / Author"/>
    <x:tableColumn id="5" name="Source Type"/>
    <x:tableColumn id="6" name="URL"/>
    <x:tableColumn id="7" name="Trafficking Type"/>
    <x:tableColumn id="8" name="Topic"/>
    <x:tableColumn id="9" name="Technology / Platform"/>
    <x:tableColumn id="10" name="Geography"/>
    <x:tableColumn id="11" name="Investigation Stage"/>
    <x:tableColumn id="12" name="Key Finding"/>
    <x:tableColumn id="13" name="Evidence Notes"/>
    <x:tableColumn id="14" name="Confidence"/>
    <x:tableColumn id="15" name="Review Status"/>
    <x:tableColumn id="16" name="PDF / File Name"/>
    <x:tableColumn id="17" name="Date Added"/>
    <x:tableColumn id="18" name="Last Review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ee51229dfed4f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99730567dc8a40b0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38" hidden="0" customWidth="1"/>
    <x:col min="4" max="4" width="24" hidden="0" customWidth="1"/>
    <x:col min="5" max="5" width="24" hidden="0" customWidth="1"/>
    <x:col min="6" max="6" width="42" hidden="0" customWidth="1"/>
    <x:col min="7" max="7" width="18" hidden="0" customWidth="1"/>
    <x:col min="8" max="8" width="22" hidden="0" customWidth="1"/>
    <x:col min="9" max="9" width="24" hidden="0" customWidth="1"/>
    <x:col min="10" max="10" width="18" hidden="0" customWidth="1"/>
    <x:col min="11" max="11" width="22" hidden="0" customWidth="1"/>
    <x:col min="12" max="12" width="44" hidden="0" customWidth="1"/>
    <x:col min="13" max="13" width="42" hidden="0" customWidth="1"/>
    <x:col min="14" max="14" width="13" hidden="0" customWidth="1"/>
    <x:col min="15" max="15" width="14" hidden="0" customWidth="1"/>
    <x:col min="16" max="16" width="26" hidden="0" customWidth="1"/>
    <x:col min="17" max="17" width="14" hidden="0" customWidth="1"/>
    <x:col min="18" max="18" width="14" hidden="0" customWidth="1"/>
  </x:cols>
  <x:sheetData>
    <x:row r="1" ht="34" customHeight="1">
      <x:c r="A1" s="27" t="str">
        <x:v>Record ID</x:v>
      </x:c>
      <x:c r="B1" s="27" t="str">
        <x:v>Source Date</x:v>
      </x:c>
      <x:c r="C1" s="27" t="str">
        <x:v>Source Title</x:v>
      </x:c>
      <x:c r="D1" s="27" t="str">
        <x:v>Publisher / Author</x:v>
      </x:c>
      <x:c r="E1" s="27" t="str">
        <x:v>Source Type</x:v>
      </x:c>
      <x:c r="F1" s="27" t="str">
        <x:v>URL</x:v>
      </x:c>
      <x:c r="G1" s="27" t="str">
        <x:v>Trafficking Type</x:v>
      </x:c>
      <x:c r="H1" s="27" t="str">
        <x:v>Topic</x:v>
      </x:c>
      <x:c r="I1" s="27" t="str">
        <x:v>Technology / Platform</x:v>
      </x:c>
      <x:c r="J1" s="27" t="str">
        <x:v>Geography</x:v>
      </x:c>
      <x:c r="K1" s="27" t="str">
        <x:v>Investigation Stage</x:v>
      </x:c>
      <x:c r="L1" s="27" t="str">
        <x:v>Key Finding</x:v>
      </x:c>
      <x:c r="M1" s="27" t="str">
        <x:v>Evidence Notes</x:v>
      </x:c>
      <x:c r="N1" s="27" t="str">
        <x:v>Confidence</x:v>
      </x:c>
      <x:c r="O1" s="27" t="str">
        <x:v>Review Status</x:v>
      </x:c>
      <x:c r="P1" s="27" t="str">
        <x:v>PDF / File Name</x:v>
      </x:c>
      <x:c r="Q1" s="27" t="str">
        <x:v>Date Added</x:v>
      </x:c>
      <x:c r="R1" s="27" t="str">
        <x:v>Last Reviewed</x:v>
      </x:c>
    </x:row>
    <x:row r="2">
      <x:c r="A2" s="42" t="str">
        <x:f>IF(C2="","","SRC-"&amp;TEXT(ROW()-1,"000"))</x:f>
      </x:c>
      <x:c r="B2" s="43"/>
      <x:c r="C2" s="42"/>
      <x:c r="D2" s="42"/>
      <x:c r="E2" s="42"/>
      <x:c r="F2" s="42"/>
      <x:c r="G2" s="34"/>
      <x:c r="H2" s="34"/>
      <x:c r="I2" s="34"/>
      <x:c r="J2" s="34"/>
      <x:c r="K2" s="34"/>
      <x:c r="L2" s="34"/>
      <x:c r="M2" s="34"/>
      <x:c r="N2" s="34"/>
      <x:c r="O2" s="34" t="str">
        <x:v>Collected</x:v>
      </x:c>
      <x:c r="P2" s="34"/>
      <x:c r="Q2" s="35"/>
      <x:c r="R2" s="35"/>
    </x:row>
    <x:row r="3">
      <x:c r="A3" s="42" t="str">
        <x:f>IF(C3="","","SRC-"&amp;TEXT(ROW()-1,"000"))</x:f>
      </x:c>
      <x:c r="B3" s="43"/>
      <x:c r="C3" s="42"/>
      <x:c r="D3" s="42"/>
      <x:c r="E3" s="42"/>
      <x:c r="F3" s="42"/>
      <x:c r="G3" s="34"/>
      <x:c r="H3" s="34"/>
      <x:c r="I3" s="34"/>
      <x:c r="J3" s="34"/>
      <x:c r="K3" s="34"/>
      <x:c r="L3" s="34"/>
      <x:c r="M3" s="34"/>
      <x:c r="N3" s="34"/>
      <x:c r="O3" s="34" t="str">
        <x:v>Collected</x:v>
      </x:c>
      <x:c r="P3" s="34"/>
      <x:c r="Q3" s="35"/>
      <x:c r="R3" s="35"/>
    </x:row>
    <x:row r="4">
      <x:c r="A4" s="42" t="str">
        <x:f>IF(C4="","","SRC-"&amp;TEXT(ROW()-1,"000"))</x:f>
      </x:c>
      <x:c r="B4" s="43"/>
      <x:c r="C4" s="42"/>
      <x:c r="D4" s="42"/>
      <x:c r="E4" s="42"/>
      <x:c r="F4" s="42"/>
      <x:c r="G4" s="34"/>
      <x:c r="H4" s="34"/>
      <x:c r="I4" s="34"/>
      <x:c r="J4" s="34"/>
      <x:c r="K4" s="34"/>
      <x:c r="L4" s="34"/>
      <x:c r="M4" s="34"/>
      <x:c r="N4" s="34"/>
      <x:c r="O4" s="34" t="str">
        <x:v>Collected</x:v>
      </x:c>
      <x:c r="P4" s="34"/>
      <x:c r="Q4" s="35"/>
      <x:c r="R4" s="35"/>
    </x:row>
    <x:row r="5">
      <x:c r="A5" s="42" t="str">
        <x:f>IF(C5="","","SRC-"&amp;TEXT(ROW()-1,"000"))</x:f>
      </x:c>
      <x:c r="B5" s="43"/>
      <x:c r="C5" s="42"/>
      <x:c r="D5" s="42"/>
      <x:c r="E5" s="42"/>
      <x:c r="F5" s="42"/>
      <x:c r="G5" s="34"/>
      <x:c r="H5" s="34"/>
      <x:c r="I5" s="34"/>
      <x:c r="J5" s="34"/>
      <x:c r="K5" s="34"/>
      <x:c r="L5" s="34"/>
      <x:c r="M5" s="34"/>
      <x:c r="N5" s="34"/>
      <x:c r="O5" s="34" t="str">
        <x:v>Collected</x:v>
      </x:c>
      <x:c r="P5" s="34"/>
      <x:c r="Q5" s="35"/>
      <x:c r="R5" s="35"/>
    </x:row>
    <x:row r="6">
      <x:c r="A6" s="42" t="str">
        <x:f>IF(C6="","","SRC-"&amp;TEXT(ROW()-1,"000"))</x:f>
      </x:c>
      <x:c r="B6" s="43"/>
      <x:c r="C6" s="42"/>
      <x:c r="D6" s="42"/>
      <x:c r="E6" s="42"/>
      <x:c r="F6" s="42"/>
      <x:c r="G6" s="34"/>
      <x:c r="H6" s="34"/>
      <x:c r="I6" s="34"/>
      <x:c r="J6" s="34"/>
      <x:c r="K6" s="34"/>
      <x:c r="L6" s="34"/>
      <x:c r="M6" s="34"/>
      <x:c r="N6" s="34"/>
      <x:c r="O6" s="34" t="str">
        <x:v>Collected</x:v>
      </x:c>
      <x:c r="P6" s="34"/>
      <x:c r="Q6" s="35"/>
      <x:c r="R6" s="35"/>
    </x:row>
    <x:row r="7">
      <x:c r="A7" s="42" t="str">
        <x:f>IF(C7="","","SRC-"&amp;TEXT(ROW()-1,"000"))</x:f>
      </x:c>
      <x:c r="B7" s="43"/>
      <x:c r="C7" s="42"/>
      <x:c r="D7" s="42"/>
      <x:c r="E7" s="42"/>
      <x:c r="F7" s="42"/>
      <x:c r="G7" s="34"/>
      <x:c r="H7" s="34"/>
      <x:c r="I7" s="34"/>
      <x:c r="J7" s="34"/>
      <x:c r="K7" s="34"/>
      <x:c r="L7" s="34"/>
      <x:c r="M7" s="34"/>
      <x:c r="N7" s="34"/>
      <x:c r="O7" s="34" t="str">
        <x:v>Collected</x:v>
      </x:c>
      <x:c r="P7" s="34"/>
      <x:c r="Q7" s="35"/>
      <x:c r="R7" s="35"/>
    </x:row>
    <x:row r="8">
      <x:c r="A8" s="42" t="str">
        <x:f>IF(C8="","","SRC-"&amp;TEXT(ROW()-1,"000"))</x:f>
      </x:c>
      <x:c r="B8" s="43"/>
      <x:c r="C8" s="42"/>
      <x:c r="D8" s="42"/>
      <x:c r="E8" s="42"/>
      <x:c r="F8" s="42"/>
      <x:c r="G8" s="34"/>
      <x:c r="H8" s="34"/>
      <x:c r="I8" s="34"/>
      <x:c r="J8" s="34"/>
      <x:c r="K8" s="34"/>
      <x:c r="L8" s="34"/>
      <x:c r="M8" s="34"/>
      <x:c r="N8" s="34"/>
      <x:c r="O8" s="34" t="str">
        <x:v>Collected</x:v>
      </x:c>
      <x:c r="P8" s="34"/>
      <x:c r="Q8" s="35"/>
      <x:c r="R8" s="35"/>
    </x:row>
    <x:row r="9">
      <x:c r="A9" s="42" t="str">
        <x:f>IF(C9="","","SRC-"&amp;TEXT(ROW()-1,"000"))</x:f>
      </x:c>
      <x:c r="B9" s="43"/>
      <x:c r="C9" s="42"/>
      <x:c r="D9" s="42"/>
      <x:c r="E9" s="42"/>
      <x:c r="F9" s="42"/>
      <x:c r="G9" s="34"/>
      <x:c r="H9" s="34"/>
      <x:c r="I9" s="34"/>
      <x:c r="J9" s="34"/>
      <x:c r="K9" s="34"/>
      <x:c r="L9" s="34"/>
      <x:c r="M9" s="34"/>
      <x:c r="N9" s="34"/>
      <x:c r="O9" s="34" t="str">
        <x:v>Collected</x:v>
      </x:c>
      <x:c r="P9" s="34"/>
      <x:c r="Q9" s="35"/>
      <x:c r="R9" s="35"/>
    </x:row>
    <x:row r="10">
      <x:c r="A10" s="42" t="str">
        <x:f>IF(C10="","","SRC-"&amp;TEXT(ROW()-1,"000"))</x:f>
      </x:c>
      <x:c r="B10" s="43"/>
      <x:c r="C10" s="42"/>
      <x:c r="D10" s="42"/>
      <x:c r="E10" s="42"/>
      <x:c r="F10" s="42"/>
      <x:c r="G10" s="34"/>
      <x:c r="H10" s="34"/>
      <x:c r="I10" s="34"/>
      <x:c r="J10" s="34"/>
      <x:c r="K10" s="34"/>
      <x:c r="L10" s="34"/>
      <x:c r="M10" s="34"/>
      <x:c r="N10" s="34"/>
      <x:c r="O10" s="34" t="str">
        <x:v>Collected</x:v>
      </x:c>
      <x:c r="P10" s="34"/>
      <x:c r="Q10" s="35"/>
      <x:c r="R10" s="35"/>
    </x:row>
    <x:row r="11">
      <x:c r="A11" s="42" t="str">
        <x:f>IF(C11="","","SRC-"&amp;TEXT(ROW()-1,"000"))</x:f>
      </x:c>
      <x:c r="B11" s="43"/>
      <x:c r="C11" s="42"/>
      <x:c r="D11" s="42"/>
      <x:c r="E11" s="42"/>
      <x:c r="F11" s="42"/>
      <x:c r="G11" s="34"/>
      <x:c r="H11" s="34"/>
      <x:c r="I11" s="34"/>
      <x:c r="J11" s="34"/>
      <x:c r="K11" s="34"/>
      <x:c r="L11" s="34"/>
      <x:c r="M11" s="34"/>
      <x:c r="N11" s="34"/>
      <x:c r="O11" s="34" t="str">
        <x:v>Collected</x:v>
      </x:c>
      <x:c r="P11" s="34"/>
      <x:c r="Q11" s="35"/>
      <x:c r="R11" s="35"/>
    </x:row>
    <x:row r="12">
      <x:c r="A12" s="42" t="str">
        <x:f>IF(C12="","","SRC-"&amp;TEXT(ROW()-1,"000"))</x:f>
      </x:c>
      <x:c r="B12" s="43"/>
      <x:c r="C12" s="42"/>
      <x:c r="D12" s="42"/>
      <x:c r="E12" s="42"/>
      <x:c r="F12" s="42"/>
      <x:c r="G12" s="34"/>
      <x:c r="H12" s="34"/>
      <x:c r="I12" s="34"/>
      <x:c r="J12" s="34"/>
      <x:c r="K12" s="34"/>
      <x:c r="L12" s="34"/>
      <x:c r="M12" s="34"/>
      <x:c r="N12" s="34"/>
      <x:c r="O12" s="34" t="str">
        <x:v>Collected</x:v>
      </x:c>
      <x:c r="P12" s="34"/>
      <x:c r="Q12" s="35"/>
      <x:c r="R12" s="35"/>
    </x:row>
    <x:row r="13">
      <x:c r="A13" s="42" t="str">
        <x:f>IF(C13="","","SRC-"&amp;TEXT(ROW()-1,"000"))</x:f>
      </x:c>
      <x:c r="B13" s="43"/>
      <x:c r="C13" s="42"/>
      <x:c r="D13" s="42"/>
      <x:c r="E13" s="42"/>
      <x:c r="F13" s="42"/>
      <x:c r="G13" s="34"/>
      <x:c r="H13" s="34"/>
      <x:c r="I13" s="34"/>
      <x:c r="J13" s="34"/>
      <x:c r="K13" s="34"/>
      <x:c r="L13" s="34"/>
      <x:c r="M13" s="34"/>
      <x:c r="N13" s="34"/>
      <x:c r="O13" s="34" t="str">
        <x:v>Collected</x:v>
      </x:c>
      <x:c r="P13" s="34"/>
      <x:c r="Q13" s="35"/>
      <x:c r="R13" s="35"/>
    </x:row>
    <x:row r="14">
      <x:c r="A14" s="42" t="str">
        <x:f>IF(C14="","","SRC-"&amp;TEXT(ROW()-1,"000"))</x:f>
      </x:c>
      <x:c r="B14" s="43"/>
      <x:c r="C14" s="42"/>
      <x:c r="D14" s="42"/>
      <x:c r="E14" s="42"/>
      <x:c r="F14" s="42"/>
      <x:c r="G14" s="34"/>
      <x:c r="H14" s="34"/>
      <x:c r="I14" s="34"/>
      <x:c r="J14" s="34"/>
      <x:c r="K14" s="34"/>
      <x:c r="L14" s="34"/>
      <x:c r="M14" s="34"/>
      <x:c r="N14" s="34"/>
      <x:c r="O14" s="34" t="str">
        <x:v>Collected</x:v>
      </x:c>
      <x:c r="P14" s="34"/>
      <x:c r="Q14" s="35"/>
      <x:c r="R14" s="35"/>
    </x:row>
    <x:row r="15">
      <x:c r="A15" s="42" t="str">
        <x:f>IF(C15="","","SRC-"&amp;TEXT(ROW()-1,"000"))</x:f>
      </x:c>
      <x:c r="B15" s="43"/>
      <x:c r="C15" s="42"/>
      <x:c r="D15" s="42"/>
      <x:c r="E15" s="42"/>
      <x:c r="F15" s="42"/>
      <x:c r="G15" s="34"/>
      <x:c r="H15" s="34"/>
      <x:c r="I15" s="34"/>
      <x:c r="J15" s="34"/>
      <x:c r="K15" s="34"/>
      <x:c r="L15" s="34"/>
      <x:c r="M15" s="34"/>
      <x:c r="N15" s="34"/>
      <x:c r="O15" s="34" t="str">
        <x:v>Collected</x:v>
      </x:c>
      <x:c r="P15" s="34"/>
      <x:c r="Q15" s="35"/>
      <x:c r="R15" s="35"/>
    </x:row>
    <x:row r="16">
      <x:c r="A16" s="42" t="str">
        <x:f>IF(C16="","","SRC-"&amp;TEXT(ROW()-1,"000"))</x:f>
      </x:c>
      <x:c r="B16" s="43"/>
      <x:c r="C16" s="42"/>
      <x:c r="D16" s="42"/>
      <x:c r="E16" s="42"/>
      <x:c r="F16" s="42"/>
      <x:c r="G16" s="34"/>
      <x:c r="H16" s="34"/>
      <x:c r="I16" s="34"/>
      <x:c r="J16" s="34"/>
      <x:c r="K16" s="34"/>
      <x:c r="L16" s="34"/>
      <x:c r="M16" s="34"/>
      <x:c r="N16" s="34"/>
      <x:c r="O16" s="34" t="str">
        <x:v>Collected</x:v>
      </x:c>
      <x:c r="P16" s="34"/>
      <x:c r="Q16" s="35"/>
      <x:c r="R16" s="35"/>
    </x:row>
    <x:row r="17">
      <x:c r="A17" s="42" t="str">
        <x:f>IF(C17="","","SRC-"&amp;TEXT(ROW()-1,"000"))</x:f>
      </x:c>
      <x:c r="B17" s="43"/>
      <x:c r="C17" s="42"/>
      <x:c r="D17" s="42"/>
      <x:c r="E17" s="42"/>
      <x:c r="F17" s="42"/>
      <x:c r="G17" s="34"/>
      <x:c r="H17" s="34"/>
      <x:c r="I17" s="34"/>
      <x:c r="J17" s="34"/>
      <x:c r="K17" s="34"/>
      <x:c r="L17" s="34"/>
      <x:c r="M17" s="34"/>
      <x:c r="N17" s="34"/>
      <x:c r="O17" s="34" t="str">
        <x:v>Collected</x:v>
      </x:c>
      <x:c r="P17" s="34"/>
      <x:c r="Q17" s="35"/>
      <x:c r="R17" s="35"/>
    </x:row>
    <x:row r="18">
      <x:c r="A18" s="42" t="str">
        <x:f>IF(C18="","","SRC-"&amp;TEXT(ROW()-1,"000"))</x:f>
      </x:c>
      <x:c r="B18" s="43"/>
      <x:c r="C18" s="42"/>
      <x:c r="D18" s="42"/>
      <x:c r="E18" s="42"/>
      <x:c r="F18" s="42"/>
      <x:c r="G18" s="34"/>
      <x:c r="H18" s="34"/>
      <x:c r="I18" s="34"/>
      <x:c r="J18" s="34"/>
      <x:c r="K18" s="34"/>
      <x:c r="L18" s="34"/>
      <x:c r="M18" s="34"/>
      <x:c r="N18" s="34"/>
      <x:c r="O18" s="34" t="str">
        <x:v>Collected</x:v>
      </x:c>
      <x:c r="P18" s="34"/>
      <x:c r="Q18" s="35"/>
      <x:c r="R18" s="35"/>
    </x:row>
    <x:row r="19">
      <x:c r="A19" s="42" t="str">
        <x:f>IF(C19="","","SRC-"&amp;TEXT(ROW()-1,"000"))</x:f>
      </x:c>
      <x:c r="B19" s="43"/>
      <x:c r="C19" s="42"/>
      <x:c r="D19" s="42"/>
      <x:c r="E19" s="42"/>
      <x:c r="F19" s="42"/>
      <x:c r="G19" s="34"/>
      <x:c r="H19" s="34"/>
      <x:c r="I19" s="34"/>
      <x:c r="J19" s="34"/>
      <x:c r="K19" s="34"/>
      <x:c r="L19" s="34"/>
      <x:c r="M19" s="34"/>
      <x:c r="N19" s="34"/>
      <x:c r="O19" s="34" t="str">
        <x:v>Collected</x:v>
      </x:c>
      <x:c r="P19" s="34"/>
      <x:c r="Q19" s="35"/>
      <x:c r="R19" s="35"/>
    </x:row>
    <x:row r="20">
      <x:c r="A20" s="42" t="str">
        <x:f>IF(C20="","","SRC-"&amp;TEXT(ROW()-1,"000"))</x:f>
      </x:c>
      <x:c r="B20" s="43"/>
      <x:c r="C20" s="42"/>
      <x:c r="D20" s="42"/>
      <x:c r="E20" s="42"/>
      <x:c r="F20" s="42"/>
      <x:c r="G20" s="34"/>
      <x:c r="H20" s="34"/>
      <x:c r="I20" s="34"/>
      <x:c r="J20" s="34"/>
      <x:c r="K20" s="34"/>
      <x:c r="L20" s="34"/>
      <x:c r="M20" s="34"/>
      <x:c r="N20" s="34"/>
      <x:c r="O20" s="34" t="str">
        <x:v>Collected</x:v>
      </x:c>
      <x:c r="P20" s="34"/>
      <x:c r="Q20" s="35"/>
      <x:c r="R20" s="35"/>
    </x:row>
    <x:row r="21">
      <x:c r="A21" s="42" t="str">
        <x:f>IF(C21="","","SRC-"&amp;TEXT(ROW()-1,"000"))</x:f>
      </x:c>
      <x:c r="B21" s="43"/>
      <x:c r="C21" s="42"/>
      <x:c r="D21" s="42"/>
      <x:c r="E21" s="42"/>
      <x:c r="F21" s="42"/>
      <x:c r="G21" s="34"/>
      <x:c r="H21" s="34"/>
      <x:c r="I21" s="34"/>
      <x:c r="J21" s="34"/>
      <x:c r="K21" s="34"/>
      <x:c r="L21" s="34"/>
      <x:c r="M21" s="34"/>
      <x:c r="N21" s="34"/>
      <x:c r="O21" s="34" t="str">
        <x:v>Collected</x:v>
      </x:c>
      <x:c r="P21" s="34"/>
      <x:c r="Q21" s="35"/>
      <x:c r="R21" s="35"/>
    </x:row>
    <x:row r="22">
      <x:c r="A22" s="42" t="str">
        <x:f>IF(C22="","","SRC-"&amp;TEXT(ROW()-1,"000"))</x:f>
      </x:c>
      <x:c r="B22" s="43"/>
      <x:c r="C22" s="42"/>
      <x:c r="D22" s="42"/>
      <x:c r="E22" s="42"/>
      <x:c r="F22" s="42"/>
      <x:c r="G22" s="34"/>
      <x:c r="H22" s="34"/>
      <x:c r="I22" s="34"/>
      <x:c r="J22" s="34"/>
      <x:c r="K22" s="34"/>
      <x:c r="L22" s="34"/>
      <x:c r="M22" s="34"/>
      <x:c r="N22" s="34"/>
      <x:c r="O22" s="34" t="str">
        <x:v>Collected</x:v>
      </x:c>
      <x:c r="P22" s="34"/>
      <x:c r="Q22" s="35"/>
      <x:c r="R22" s="35"/>
    </x:row>
    <x:row r="23">
      <x:c r="A23" s="42" t="str">
        <x:f>IF(C23="","","SRC-"&amp;TEXT(ROW()-1,"000"))</x:f>
      </x:c>
      <x:c r="B23" s="43"/>
      <x:c r="C23" s="42"/>
      <x:c r="D23" s="42"/>
      <x:c r="E23" s="42"/>
      <x:c r="F23" s="42"/>
      <x:c r="G23" s="34"/>
      <x:c r="H23" s="34"/>
      <x:c r="I23" s="34"/>
      <x:c r="J23" s="34"/>
      <x:c r="K23" s="34"/>
      <x:c r="L23" s="34"/>
      <x:c r="M23" s="34"/>
      <x:c r="N23" s="34"/>
      <x:c r="O23" s="34" t="str">
        <x:v>Collected</x:v>
      </x:c>
      <x:c r="P23" s="34"/>
      <x:c r="Q23" s="35"/>
      <x:c r="R23" s="35"/>
    </x:row>
    <x:row r="24">
      <x:c r="A24" s="42" t="str">
        <x:f>IF(C24="","","SRC-"&amp;TEXT(ROW()-1,"000"))</x:f>
      </x:c>
      <x:c r="B24" s="43"/>
      <x:c r="C24" s="42"/>
      <x:c r="D24" s="42"/>
      <x:c r="E24" s="42"/>
      <x:c r="F24" s="42"/>
      <x:c r="G24" s="34"/>
      <x:c r="H24" s="34"/>
      <x:c r="I24" s="34"/>
      <x:c r="J24" s="34"/>
      <x:c r="K24" s="34"/>
      <x:c r="L24" s="34"/>
      <x:c r="M24" s="34"/>
      <x:c r="N24" s="34"/>
      <x:c r="O24" s="34" t="str">
        <x:v>Collected</x:v>
      </x:c>
      <x:c r="P24" s="34"/>
      <x:c r="Q24" s="35"/>
      <x:c r="R24" s="35"/>
    </x:row>
    <x:row r="25">
      <x:c r="A25" s="42" t="str">
        <x:f>IF(C25="","","SRC-"&amp;TEXT(ROW()-1,"000"))</x:f>
      </x:c>
      <x:c r="B25" s="43"/>
      <x:c r="C25" s="42"/>
      <x:c r="D25" s="42"/>
      <x:c r="E25" s="42"/>
      <x:c r="F25" s="42"/>
      <x:c r="G25" s="34"/>
      <x:c r="H25" s="34"/>
      <x:c r="I25" s="34"/>
      <x:c r="J25" s="34"/>
      <x:c r="K25" s="34"/>
      <x:c r="L25" s="34"/>
      <x:c r="M25" s="34"/>
      <x:c r="N25" s="34"/>
      <x:c r="O25" s="34" t="str">
        <x:v>Collected</x:v>
      </x:c>
      <x:c r="P25" s="34"/>
      <x:c r="Q25" s="35"/>
      <x:c r="R25" s="35"/>
    </x:row>
    <x:row r="26">
      <x:c r="A26" s="42" t="str">
        <x:f>IF(C26="","","SRC-"&amp;TEXT(ROW()-1,"000"))</x:f>
      </x:c>
      <x:c r="B26" s="43"/>
      <x:c r="C26" s="42"/>
      <x:c r="D26" s="42"/>
      <x:c r="E26" s="42"/>
      <x:c r="F26" s="42"/>
      <x:c r="G26" s="34"/>
      <x:c r="H26" s="34"/>
      <x:c r="I26" s="34"/>
      <x:c r="J26" s="34"/>
      <x:c r="K26" s="34"/>
      <x:c r="L26" s="34"/>
      <x:c r="M26" s="34"/>
      <x:c r="N26" s="34"/>
      <x:c r="O26" s="34" t="str">
        <x:v>Collected</x:v>
      </x:c>
      <x:c r="P26" s="34"/>
      <x:c r="Q26" s="35"/>
      <x:c r="R26" s="35"/>
    </x:row>
    <x:row r="27">
      <x:c r="A27" s="42" t="str">
        <x:f>IF(C27="","","SRC-"&amp;TEXT(ROW()-1,"000"))</x:f>
      </x:c>
      <x:c r="B27" s="43"/>
      <x:c r="C27" s="42"/>
      <x:c r="D27" s="42"/>
      <x:c r="E27" s="42"/>
      <x:c r="F27" s="42"/>
      <x:c r="G27" s="34"/>
      <x:c r="H27" s="34"/>
      <x:c r="I27" s="34"/>
      <x:c r="J27" s="34"/>
      <x:c r="K27" s="34"/>
      <x:c r="L27" s="34"/>
      <x:c r="M27" s="34"/>
      <x:c r="N27" s="34"/>
      <x:c r="O27" s="34" t="str">
        <x:v>Collected</x:v>
      </x:c>
      <x:c r="P27" s="34"/>
      <x:c r="Q27" s="35"/>
      <x:c r="R27" s="35"/>
    </x:row>
    <x:row r="28">
      <x:c r="A28" s="42" t="str">
        <x:f>IF(C28="","","SRC-"&amp;TEXT(ROW()-1,"000"))</x:f>
      </x:c>
      <x:c r="B28" s="43"/>
      <x:c r="C28" s="42"/>
      <x:c r="D28" s="42"/>
      <x:c r="E28" s="42"/>
      <x:c r="F28" s="42"/>
      <x:c r="G28" s="34"/>
      <x:c r="H28" s="34"/>
      <x:c r="I28" s="34"/>
      <x:c r="J28" s="34"/>
      <x:c r="K28" s="34"/>
      <x:c r="L28" s="34"/>
      <x:c r="M28" s="34"/>
      <x:c r="N28" s="34"/>
      <x:c r="O28" s="34" t="str">
        <x:v>Collected</x:v>
      </x:c>
      <x:c r="P28" s="34"/>
      <x:c r="Q28" s="35"/>
      <x:c r="R28" s="35"/>
    </x:row>
    <x:row r="29">
      <x:c r="A29" s="42" t="str">
        <x:f>IF(C29="","","SRC-"&amp;TEXT(ROW()-1,"000"))</x:f>
      </x:c>
      <x:c r="B29" s="43"/>
      <x:c r="C29" s="42"/>
      <x:c r="D29" s="42"/>
      <x:c r="E29" s="42"/>
      <x:c r="F29" s="42"/>
      <x:c r="G29" s="34"/>
      <x:c r="H29" s="34"/>
      <x:c r="I29" s="34"/>
      <x:c r="J29" s="34"/>
      <x:c r="K29" s="34"/>
      <x:c r="L29" s="34"/>
      <x:c r="M29" s="34"/>
      <x:c r="N29" s="34"/>
      <x:c r="O29" s="34" t="str">
        <x:v>Collected</x:v>
      </x:c>
      <x:c r="P29" s="34"/>
      <x:c r="Q29" s="35"/>
      <x:c r="R29" s="35"/>
    </x:row>
    <x:row r="30">
      <x:c r="A30" s="42" t="str">
        <x:f>IF(C30="","","SRC-"&amp;TEXT(ROW()-1,"000"))</x:f>
      </x:c>
      <x:c r="B30" s="43"/>
      <x:c r="C30" s="42"/>
      <x:c r="D30" s="42"/>
      <x:c r="E30" s="42"/>
      <x:c r="F30" s="42"/>
      <x:c r="G30" s="34"/>
      <x:c r="H30" s="34"/>
      <x:c r="I30" s="34"/>
      <x:c r="J30" s="34"/>
      <x:c r="K30" s="34"/>
      <x:c r="L30" s="34"/>
      <x:c r="M30" s="34"/>
      <x:c r="N30" s="34"/>
      <x:c r="O30" s="34" t="str">
        <x:v>Collected</x:v>
      </x:c>
      <x:c r="P30" s="34"/>
      <x:c r="Q30" s="35"/>
      <x:c r="R30" s="35"/>
    </x:row>
    <x:row r="31">
      <x:c r="A31" s="44" t="str">
        <x:f>IF(C31="","","SRC-"&amp;TEXT(ROW()-1,"000"))</x:f>
      </x:c>
      <x:c r="B31" s="45"/>
      <x:c r="C31" s="44"/>
      <x:c r="D31" s="44"/>
      <x:c r="E31" s="44"/>
      <x:c r="F31" s="44"/>
      <x:c r="G31" s="38"/>
      <x:c r="H31" s="38"/>
      <x:c r="I31" s="38"/>
      <x:c r="J31" s="38"/>
      <x:c r="K31" s="38"/>
      <x:c r="L31" s="38"/>
      <x:c r="M31" s="38"/>
      <x:c r="N31" s="38"/>
      <x:c r="O31" s="38" t="str">
        <x:v>Collected</x:v>
      </x:c>
      <x:c r="P31" s="38"/>
      <x:c r="Q31" s="39"/>
      <x:c r="R31" s="39"/>
    </x:row>
    <x:row r="32">
      <x:c r="A32" s="34" t="str">
        <x:f>IF(C32="","","SRC-"&amp;TEXT(ROW()-1,"000"))</x:f>
      </x:c>
      <x:c r="B32" s="35"/>
      <x:c r="C32" s="34"/>
      <x:c r="D32" s="34"/>
      <x:c r="E32" s="34"/>
      <x:c r="F32" s="34"/>
      <x:c r="G32" s="34"/>
      <x:c r="H32" s="34"/>
      <x:c r="I32" s="34"/>
      <x:c r="J32" s="34"/>
      <x:c r="K32" s="34"/>
      <x:c r="L32" s="34"/>
      <x:c r="M32" s="34"/>
      <x:c r="N32" s="34"/>
      <x:c r="O32" s="34" t="str">
        <x:v>Collected</x:v>
      </x:c>
      <x:c r="P32" s="34"/>
      <x:c r="Q32" s="35"/>
      <x:c r="R32" s="35"/>
    </x:row>
    <x:row r="33">
      <x:c r="A33" s="34" t="str">
        <x:f>IF(C33="","","SRC-"&amp;TEXT(ROW()-1,"000"))</x:f>
      </x:c>
      <x:c r="B33" s="35"/>
      <x:c r="C33" s="34"/>
      <x:c r="D33" s="34"/>
      <x:c r="E33" s="34"/>
      <x:c r="F33" s="34"/>
      <x:c r="G33" s="34"/>
      <x:c r="H33" s="34"/>
      <x:c r="I33" s="34"/>
      <x:c r="J33" s="34"/>
      <x:c r="K33" s="34"/>
      <x:c r="L33" s="34"/>
      <x:c r="M33" s="34"/>
      <x:c r="N33" s="34"/>
      <x:c r="O33" s="34" t="str">
        <x:v>Collected</x:v>
      </x:c>
      <x:c r="P33" s="34"/>
      <x:c r="Q33" s="35"/>
      <x:c r="R33" s="35"/>
    </x:row>
    <x:row r="34">
      <x:c r="A34" s="34" t="str">
        <x:f>IF(C34="","","SRC-"&amp;TEXT(ROW()-1,"000"))</x:f>
      </x:c>
      <x:c r="B34" s="35"/>
      <x:c r="C34" s="34"/>
      <x:c r="D34" s="34"/>
      <x:c r="E34" s="34"/>
      <x:c r="F34" s="34"/>
      <x:c r="G34" s="34"/>
      <x:c r="H34" s="34"/>
      <x:c r="I34" s="34"/>
      <x:c r="J34" s="34"/>
      <x:c r="K34" s="34"/>
      <x:c r="L34" s="34"/>
      <x:c r="M34" s="34"/>
      <x:c r="N34" s="34"/>
      <x:c r="O34" s="34" t="str">
        <x:v>Collected</x:v>
      </x:c>
      <x:c r="P34" s="34"/>
      <x:c r="Q34" s="35"/>
      <x:c r="R34" s="35"/>
    </x:row>
    <x:row r="35">
      <x:c r="A35" s="34" t="str">
        <x:f>IF(C35="","","SRC-"&amp;TEXT(ROW()-1,"000"))</x:f>
      </x:c>
      <x:c r="B35" s="35"/>
      <x:c r="C35" s="34"/>
      <x:c r="D35" s="34"/>
      <x:c r="E35" s="34"/>
      <x:c r="F35" s="34"/>
      <x:c r="G35" s="34"/>
      <x:c r="H35" s="34"/>
      <x:c r="I35" s="34"/>
      <x:c r="J35" s="34"/>
      <x:c r="K35" s="34"/>
      <x:c r="L35" s="34"/>
      <x:c r="M35" s="34"/>
      <x:c r="N35" s="34"/>
      <x:c r="O35" s="34" t="str">
        <x:v>Collected</x:v>
      </x:c>
      <x:c r="P35" s="34"/>
      <x:c r="Q35" s="35"/>
      <x:c r="R35" s="35"/>
    </x:row>
    <x:row r="36">
      <x:c r="A36" s="34" t="str">
        <x:f>IF(C36="","","SRC-"&amp;TEXT(ROW()-1,"000"))</x:f>
      </x:c>
      <x:c r="B36" s="35"/>
      <x:c r="C36" s="34"/>
      <x:c r="D36" s="34"/>
      <x:c r="E36" s="34"/>
      <x:c r="F36" s="34"/>
      <x:c r="G36" s="34"/>
      <x:c r="H36" s="34"/>
      <x:c r="I36" s="34"/>
      <x:c r="J36" s="34"/>
      <x:c r="K36" s="34"/>
      <x:c r="L36" s="34"/>
      <x:c r="M36" s="34"/>
      <x:c r="N36" s="34"/>
      <x:c r="O36" s="34" t="str">
        <x:v>Collected</x:v>
      </x:c>
      <x:c r="P36" s="34"/>
      <x:c r="Q36" s="35"/>
      <x:c r="R36" s="35"/>
    </x:row>
    <x:row r="37">
      <x:c r="A37" s="34" t="str">
        <x:f>IF(C37="","","SRC-"&amp;TEXT(ROW()-1,"000"))</x:f>
      </x:c>
      <x:c r="B37" s="35"/>
      <x:c r="C37" s="34"/>
      <x:c r="D37" s="34"/>
      <x:c r="E37" s="34"/>
      <x:c r="F37" s="34"/>
      <x:c r="G37" s="34"/>
      <x:c r="H37" s="34"/>
      <x:c r="I37" s="34"/>
      <x:c r="J37" s="34"/>
      <x:c r="K37" s="34"/>
      <x:c r="L37" s="34"/>
      <x:c r="M37" s="34"/>
      <x:c r="N37" s="34"/>
      <x:c r="O37" s="34" t="str">
        <x:v>Collected</x:v>
      </x:c>
      <x:c r="P37" s="34"/>
      <x:c r="Q37" s="35"/>
      <x:c r="R37" s="35"/>
    </x:row>
    <x:row r="38">
      <x:c r="A38" s="34" t="str">
        <x:f>IF(C38="","","SRC-"&amp;TEXT(ROW()-1,"000"))</x:f>
      </x:c>
      <x:c r="B38" s="35"/>
      <x:c r="C38" s="34"/>
      <x:c r="D38" s="34"/>
      <x:c r="E38" s="34"/>
      <x:c r="F38" s="34"/>
      <x:c r="G38" s="34"/>
      <x:c r="H38" s="34"/>
      <x:c r="I38" s="34"/>
      <x:c r="J38" s="34"/>
      <x:c r="K38" s="34"/>
      <x:c r="L38" s="34"/>
      <x:c r="M38" s="34"/>
      <x:c r="N38" s="34"/>
      <x:c r="O38" s="34" t="str">
        <x:v>Collected</x:v>
      </x:c>
      <x:c r="P38" s="34"/>
      <x:c r="Q38" s="35"/>
      <x:c r="R38" s="35"/>
    </x:row>
    <x:row r="39">
      <x:c r="A39" s="34" t="str">
        <x:f>IF(C39="","","SRC-"&amp;TEXT(ROW()-1,"000"))</x:f>
      </x:c>
      <x:c r="B39" s="35"/>
      <x:c r="C39" s="34"/>
      <x:c r="D39" s="34"/>
      <x:c r="E39" s="34"/>
      <x:c r="F39" s="34"/>
      <x:c r="G39" s="34"/>
      <x:c r="H39" s="34"/>
      <x:c r="I39" s="34"/>
      <x:c r="J39" s="34"/>
      <x:c r="K39" s="34"/>
      <x:c r="L39" s="34"/>
      <x:c r="M39" s="34"/>
      <x:c r="N39" s="34"/>
      <x:c r="O39" s="34" t="str">
        <x:v>Collected</x:v>
      </x:c>
      <x:c r="P39" s="34"/>
      <x:c r="Q39" s="35"/>
      <x:c r="R39" s="35"/>
    </x:row>
    <x:row r="40">
      <x:c r="A40" s="34" t="str">
        <x:f>IF(C40="","","SRC-"&amp;TEXT(ROW()-1,"000"))</x:f>
      </x:c>
      <x:c r="B40" s="35"/>
      <x:c r="C40" s="34"/>
      <x:c r="D40" s="34"/>
      <x:c r="E40" s="34"/>
      <x:c r="F40" s="34"/>
      <x:c r="G40" s="34"/>
      <x:c r="H40" s="34"/>
      <x:c r="I40" s="34"/>
      <x:c r="J40" s="34"/>
      <x:c r="K40" s="34"/>
      <x:c r="L40" s="34"/>
      <x:c r="M40" s="34"/>
      <x:c r="N40" s="34"/>
      <x:c r="O40" s="34" t="str">
        <x:v>Collected</x:v>
      </x:c>
      <x:c r="P40" s="34"/>
      <x:c r="Q40" s="35"/>
      <x:c r="R40" s="35"/>
    </x:row>
    <x:row r="41">
      <x:c r="A41" s="34" t="str">
        <x:f>IF(C41="","","SRC-"&amp;TEXT(ROW()-1,"000"))</x:f>
      </x:c>
      <x:c r="B41" s="35"/>
      <x:c r="C41" s="34"/>
      <x:c r="D41" s="34"/>
      <x:c r="E41" s="34"/>
      <x:c r="F41" s="34"/>
      <x:c r="G41" s="34"/>
      <x:c r="H41" s="34"/>
      <x:c r="I41" s="34"/>
      <x:c r="J41" s="34"/>
      <x:c r="K41" s="34"/>
      <x:c r="L41" s="34"/>
      <x:c r="M41" s="34"/>
      <x:c r="N41" s="34"/>
      <x:c r="O41" s="34" t="str">
        <x:v>Collected</x:v>
      </x:c>
      <x:c r="P41" s="34"/>
      <x:c r="Q41" s="35"/>
      <x:c r="R41" s="35"/>
    </x:row>
    <x:row r="42">
      <x:c r="A42" s="34" t="str">
        <x:f>IF(C42="","","SRC-"&amp;TEXT(ROW()-1,"000"))</x:f>
      </x:c>
      <x:c r="B42" s="35"/>
      <x:c r="C42" s="34"/>
      <x:c r="D42" s="34"/>
      <x:c r="E42" s="34"/>
      <x:c r="F42" s="34"/>
      <x:c r="G42" s="34"/>
      <x:c r="H42" s="34"/>
      <x:c r="I42" s="34"/>
      <x:c r="J42" s="34"/>
      <x:c r="K42" s="34"/>
      <x:c r="L42" s="34"/>
      <x:c r="M42" s="34"/>
      <x:c r="N42" s="34"/>
      <x:c r="O42" s="34" t="str">
        <x:v>Collected</x:v>
      </x:c>
      <x:c r="P42" s="34"/>
      <x:c r="Q42" s="35"/>
      <x:c r="R42" s="35"/>
    </x:row>
    <x:row r="43">
      <x:c r="A43" s="34" t="str">
        <x:f>IF(C43="","","SRC-"&amp;TEXT(ROW()-1,"000"))</x:f>
      </x:c>
      <x:c r="B43" s="35"/>
      <x:c r="C43" s="34"/>
      <x:c r="D43" s="34"/>
      <x:c r="E43" s="34"/>
      <x:c r="F43" s="34"/>
      <x:c r="G43" s="34"/>
      <x:c r="H43" s="34"/>
      <x:c r="I43" s="34"/>
      <x:c r="J43" s="34"/>
      <x:c r="K43" s="34"/>
      <x:c r="L43" s="34"/>
      <x:c r="M43" s="34"/>
      <x:c r="N43" s="34"/>
      <x:c r="O43" s="34" t="str">
        <x:v>Collected</x:v>
      </x:c>
      <x:c r="P43" s="34"/>
      <x:c r="Q43" s="35"/>
      <x:c r="R43" s="35"/>
    </x:row>
    <x:row r="44">
      <x:c r="A44" s="34" t="str">
        <x:f>IF(C44="","","SRC-"&amp;TEXT(ROW()-1,"000"))</x:f>
      </x:c>
      <x:c r="B44" s="35"/>
      <x:c r="C44" s="34"/>
      <x:c r="D44" s="34"/>
      <x:c r="E44" s="34"/>
      <x:c r="F44" s="34"/>
      <x:c r="G44" s="34"/>
      <x:c r="H44" s="34"/>
      <x:c r="I44" s="34"/>
      <x:c r="J44" s="34"/>
      <x:c r="K44" s="34"/>
      <x:c r="L44" s="34"/>
      <x:c r="M44" s="34"/>
      <x:c r="N44" s="34"/>
      <x:c r="O44" s="34" t="str">
        <x:v>Collected</x:v>
      </x:c>
      <x:c r="P44" s="34"/>
      <x:c r="Q44" s="35"/>
      <x:c r="R44" s="35"/>
    </x:row>
    <x:row r="45">
      <x:c r="A45" s="34" t="str">
        <x:f>IF(C45="","","SRC-"&amp;TEXT(ROW()-1,"000"))</x:f>
      </x:c>
      <x:c r="B45" s="35"/>
      <x:c r="C45" s="34"/>
      <x:c r="D45" s="34"/>
      <x:c r="E45" s="34"/>
      <x:c r="F45" s="34"/>
      <x:c r="G45" s="34"/>
      <x:c r="H45" s="34"/>
      <x:c r="I45" s="34"/>
      <x:c r="J45" s="34"/>
      <x:c r="K45" s="34"/>
      <x:c r="L45" s="34"/>
      <x:c r="M45" s="34"/>
      <x:c r="N45" s="34"/>
      <x:c r="O45" s="34" t="str">
        <x:v>Collected</x:v>
      </x:c>
      <x:c r="P45" s="34"/>
      <x:c r="Q45" s="35"/>
      <x:c r="R45" s="35"/>
    </x:row>
    <x:row r="46">
      <x:c r="A46" s="34" t="str">
        <x:f>IF(C46="","","SRC-"&amp;TEXT(ROW()-1,"000"))</x:f>
      </x:c>
      <x:c r="B46" s="35"/>
      <x:c r="C46" s="34"/>
      <x:c r="D46" s="34"/>
      <x:c r="E46" s="34"/>
      <x:c r="F46" s="34"/>
      <x:c r="G46" s="34"/>
      <x:c r="H46" s="34"/>
      <x:c r="I46" s="34"/>
      <x:c r="J46" s="34"/>
      <x:c r="K46" s="34"/>
      <x:c r="L46" s="34"/>
      <x:c r="M46" s="34"/>
      <x:c r="N46" s="34"/>
      <x:c r="O46" s="34" t="str">
        <x:v>Collected</x:v>
      </x:c>
      <x:c r="P46" s="34"/>
      <x:c r="Q46" s="35"/>
      <x:c r="R46" s="35"/>
    </x:row>
    <x:row r="47">
      <x:c r="A47" s="34" t="str">
        <x:f>IF(C47="","","SRC-"&amp;TEXT(ROW()-1,"000"))</x:f>
      </x:c>
      <x:c r="B47" s="35"/>
      <x:c r="C47" s="34"/>
      <x:c r="D47" s="34"/>
      <x:c r="E47" s="34"/>
      <x:c r="F47" s="34"/>
      <x:c r="G47" s="34"/>
      <x:c r="H47" s="34"/>
      <x:c r="I47" s="34"/>
      <x:c r="J47" s="34"/>
      <x:c r="K47" s="34"/>
      <x:c r="L47" s="34"/>
      <x:c r="M47" s="34"/>
      <x:c r="N47" s="34"/>
      <x:c r="O47" s="34" t="str">
        <x:v>Collected</x:v>
      </x:c>
      <x:c r="P47" s="34"/>
      <x:c r="Q47" s="35"/>
      <x:c r="R47" s="35"/>
    </x:row>
    <x:row r="48">
      <x:c r="A48" s="34" t="str">
        <x:f>IF(C48="","","SRC-"&amp;TEXT(ROW()-1,"000"))</x:f>
      </x:c>
      <x:c r="B48" s="35"/>
      <x:c r="C48" s="34"/>
      <x:c r="D48" s="34"/>
      <x:c r="E48" s="34"/>
      <x:c r="F48" s="34"/>
      <x:c r="G48" s="34"/>
      <x:c r="H48" s="34"/>
      <x:c r="I48" s="34"/>
      <x:c r="J48" s="34"/>
      <x:c r="K48" s="34"/>
      <x:c r="L48" s="34"/>
      <x:c r="M48" s="34"/>
      <x:c r="N48" s="34"/>
      <x:c r="O48" s="34" t="str">
        <x:v>Collected</x:v>
      </x:c>
      <x:c r="P48" s="34"/>
      <x:c r="Q48" s="35"/>
      <x:c r="R48" s="35"/>
    </x:row>
    <x:row r="49">
      <x:c r="A49" s="34" t="str">
        <x:f>IF(C49="","","SRC-"&amp;TEXT(ROW()-1,"000"))</x:f>
      </x:c>
      <x:c r="B49" s="35"/>
      <x:c r="C49" s="34"/>
      <x:c r="D49" s="34"/>
      <x:c r="E49" s="34"/>
      <x:c r="F49" s="34"/>
      <x:c r="G49" s="34"/>
      <x:c r="H49" s="34"/>
      <x:c r="I49" s="34"/>
      <x:c r="J49" s="34"/>
      <x:c r="K49" s="34"/>
      <x:c r="L49" s="34"/>
      <x:c r="M49" s="34"/>
      <x:c r="N49" s="34"/>
      <x:c r="O49" s="34" t="str">
        <x:v>Collected</x:v>
      </x:c>
      <x:c r="P49" s="34"/>
      <x:c r="Q49" s="35"/>
      <x:c r="R49" s="35"/>
    </x:row>
    <x:row r="50">
      <x:c r="A50" s="34" t="str">
        <x:f>IF(C50="","","SRC-"&amp;TEXT(ROW()-1,"000"))</x:f>
      </x:c>
      <x:c r="B50" s="35"/>
      <x:c r="C50" s="34"/>
      <x:c r="D50" s="34"/>
      <x:c r="E50" s="34"/>
      <x:c r="F50" s="34"/>
      <x:c r="G50" s="34"/>
      <x:c r="H50" s="34"/>
      <x:c r="I50" s="34"/>
      <x:c r="J50" s="34"/>
      <x:c r="K50" s="34"/>
      <x:c r="L50" s="34"/>
      <x:c r="M50" s="34"/>
      <x:c r="N50" s="34"/>
      <x:c r="O50" s="34" t="str">
        <x:v>Collected</x:v>
      </x:c>
      <x:c r="P50" s="34"/>
      <x:c r="Q50" s="35"/>
      <x:c r="R50" s="35"/>
    </x:row>
    <x:row r="51">
      <x:c r="A51" s="34" t="str">
        <x:f>IF(C51="","","SRC-"&amp;TEXT(ROW()-1,"000"))</x:f>
      </x:c>
      <x:c r="B51" s="35"/>
      <x:c r="C51" s="34"/>
      <x:c r="D51" s="34"/>
      <x:c r="E51" s="34"/>
      <x:c r="F51" s="34"/>
      <x:c r="G51" s="34"/>
      <x:c r="H51" s="34"/>
      <x:c r="I51" s="34"/>
      <x:c r="J51" s="34"/>
      <x:c r="K51" s="34"/>
      <x:c r="L51" s="34"/>
      <x:c r="M51" s="34"/>
      <x:c r="N51" s="34"/>
      <x:c r="O51" s="34" t="str">
        <x:v>Collected</x:v>
      </x:c>
      <x:c r="P51" s="34"/>
      <x:c r="Q51" s="35"/>
      <x:c r="R51" s="35"/>
    </x:row>
    <x:row r="52">
      <x:c r="A52" s="34" t="str">
        <x:f>IF(C52="","","SRC-"&amp;TEXT(ROW()-1,"000"))</x:f>
      </x:c>
      <x:c r="B52" s="35"/>
      <x:c r="C52" s="34"/>
      <x:c r="D52" s="34"/>
      <x:c r="E52" s="34"/>
      <x:c r="F52" s="34"/>
      <x:c r="G52" s="34"/>
      <x:c r="H52" s="34"/>
      <x:c r="I52" s="34"/>
      <x:c r="J52" s="34"/>
      <x:c r="K52" s="34"/>
      <x:c r="L52" s="34"/>
      <x:c r="M52" s="34"/>
      <x:c r="N52" s="34"/>
      <x:c r="O52" s="34" t="str">
        <x:v>Collected</x:v>
      </x:c>
      <x:c r="P52" s="34"/>
      <x:c r="Q52" s="35"/>
      <x:c r="R52" s="35"/>
    </x:row>
    <x:row r="53">
      <x:c r="A53" s="34" t="str">
        <x:f>IF(C53="","","SRC-"&amp;TEXT(ROW()-1,"000"))</x:f>
      </x:c>
      <x:c r="B53" s="35"/>
      <x:c r="C53" s="34"/>
      <x:c r="D53" s="34"/>
      <x:c r="E53" s="34"/>
      <x:c r="F53" s="34"/>
      <x:c r="G53" s="34"/>
      <x:c r="H53" s="34"/>
      <x:c r="I53" s="34"/>
      <x:c r="J53" s="34"/>
      <x:c r="K53" s="34"/>
      <x:c r="L53" s="34"/>
      <x:c r="M53" s="34"/>
      <x:c r="N53" s="34"/>
      <x:c r="O53" s="34" t="str">
        <x:v>Collected</x:v>
      </x:c>
      <x:c r="P53" s="34"/>
      <x:c r="Q53" s="35"/>
      <x:c r="R53" s="35"/>
    </x:row>
    <x:row r="54">
      <x:c r="A54" s="34" t="str">
        <x:f>IF(C54="","","SRC-"&amp;TEXT(ROW()-1,"000"))</x:f>
      </x:c>
      <x:c r="B54" s="35"/>
      <x:c r="C54" s="34"/>
      <x:c r="D54" s="34"/>
      <x:c r="E54" s="34"/>
      <x:c r="F54" s="34"/>
      <x:c r="G54" s="34"/>
      <x:c r="H54" s="34"/>
      <x:c r="I54" s="34"/>
      <x:c r="J54" s="34"/>
      <x:c r="K54" s="34"/>
      <x:c r="L54" s="34"/>
      <x:c r="M54" s="34"/>
      <x:c r="N54" s="34"/>
      <x:c r="O54" s="34" t="str">
        <x:v>Collected</x:v>
      </x:c>
      <x:c r="P54" s="34"/>
      <x:c r="Q54" s="35"/>
      <x:c r="R54" s="35"/>
    </x:row>
    <x:row r="55">
      <x:c r="A55" s="34" t="str">
        <x:f>IF(C55="","","SRC-"&amp;TEXT(ROW()-1,"000"))</x:f>
      </x:c>
      <x:c r="B55" s="35"/>
      <x:c r="C55" s="34"/>
      <x:c r="D55" s="34"/>
      <x:c r="E55" s="34"/>
      <x:c r="F55" s="34"/>
      <x:c r="G55" s="34"/>
      <x:c r="H55" s="34"/>
      <x:c r="I55" s="34"/>
      <x:c r="J55" s="34"/>
      <x:c r="K55" s="34"/>
      <x:c r="L55" s="34"/>
      <x:c r="M55" s="34"/>
      <x:c r="N55" s="34"/>
      <x:c r="O55" s="34" t="str">
        <x:v>Collected</x:v>
      </x:c>
      <x:c r="P55" s="34"/>
      <x:c r="Q55" s="35"/>
      <x:c r="R55" s="35"/>
    </x:row>
    <x:row r="56">
      <x:c r="A56" s="34" t="str">
        <x:f>IF(C56="","","SRC-"&amp;TEXT(ROW()-1,"000"))</x:f>
      </x:c>
      <x:c r="B56" s="35"/>
      <x:c r="C56" s="34"/>
      <x:c r="D56" s="34"/>
      <x:c r="E56" s="34"/>
      <x:c r="F56" s="34"/>
      <x:c r="G56" s="34"/>
      <x:c r="H56" s="34"/>
      <x:c r="I56" s="34"/>
      <x:c r="J56" s="34"/>
      <x:c r="K56" s="34"/>
      <x:c r="L56" s="34"/>
      <x:c r="M56" s="34"/>
      <x:c r="N56" s="34"/>
      <x:c r="O56" s="34" t="str">
        <x:v>Collected</x:v>
      </x:c>
      <x:c r="P56" s="34"/>
      <x:c r="Q56" s="35"/>
      <x:c r="R56" s="35"/>
    </x:row>
    <x:row r="57">
      <x:c r="A57" s="34" t="str">
        <x:f>IF(C57="","","SRC-"&amp;TEXT(ROW()-1,"000"))</x:f>
      </x:c>
      <x:c r="B57" s="35"/>
      <x:c r="C57" s="34"/>
      <x:c r="D57" s="34"/>
      <x:c r="E57" s="34"/>
      <x:c r="F57" s="34"/>
      <x:c r="G57" s="34"/>
      <x:c r="H57" s="34"/>
      <x:c r="I57" s="34"/>
      <x:c r="J57" s="34"/>
      <x:c r="K57" s="34"/>
      <x:c r="L57" s="34"/>
      <x:c r="M57" s="34"/>
      <x:c r="N57" s="34"/>
      <x:c r="O57" s="34" t="str">
        <x:v>Collected</x:v>
      </x:c>
      <x:c r="P57" s="34"/>
      <x:c r="Q57" s="35"/>
      <x:c r="R57" s="35"/>
    </x:row>
    <x:row r="58">
      <x:c r="A58" s="34" t="str">
        <x:f>IF(C58="","","SRC-"&amp;TEXT(ROW()-1,"000"))</x:f>
      </x:c>
      <x:c r="B58" s="35"/>
      <x:c r="C58" s="34"/>
      <x:c r="D58" s="34"/>
      <x:c r="E58" s="34"/>
      <x:c r="F58" s="34"/>
      <x:c r="G58" s="34"/>
      <x:c r="H58" s="34"/>
      <x:c r="I58" s="34"/>
      <x:c r="J58" s="34"/>
      <x:c r="K58" s="34"/>
      <x:c r="L58" s="34"/>
      <x:c r="M58" s="34"/>
      <x:c r="N58" s="34"/>
      <x:c r="O58" s="34" t="str">
        <x:v>Collected</x:v>
      </x:c>
      <x:c r="P58" s="34"/>
      <x:c r="Q58" s="35"/>
      <x:c r="R58" s="35"/>
    </x:row>
    <x:row r="59">
      <x:c r="A59" s="34" t="str">
        <x:f>IF(C59="","","SRC-"&amp;TEXT(ROW()-1,"000"))</x:f>
      </x:c>
      <x:c r="B59" s="35"/>
      <x:c r="C59" s="34"/>
      <x:c r="D59" s="34"/>
      <x:c r="E59" s="34"/>
      <x:c r="F59" s="34"/>
      <x:c r="G59" s="34"/>
      <x:c r="H59" s="34"/>
      <x:c r="I59" s="34"/>
      <x:c r="J59" s="34"/>
      <x:c r="K59" s="34"/>
      <x:c r="L59" s="34"/>
      <x:c r="M59" s="34"/>
      <x:c r="N59" s="34"/>
      <x:c r="O59" s="34" t="str">
        <x:v>Collected</x:v>
      </x:c>
      <x:c r="P59" s="34"/>
      <x:c r="Q59" s="35"/>
      <x:c r="R59" s="35"/>
    </x:row>
    <x:row r="60">
      <x:c r="A60" s="34" t="str">
        <x:f>IF(C60="","","SRC-"&amp;TEXT(ROW()-1,"000"))</x:f>
      </x:c>
      <x:c r="B60" s="35"/>
      <x:c r="C60" s="34"/>
      <x:c r="D60" s="34"/>
      <x:c r="E60" s="34"/>
      <x:c r="F60" s="34"/>
      <x:c r="G60" s="34"/>
      <x:c r="H60" s="34"/>
      <x:c r="I60" s="34"/>
      <x:c r="J60" s="34"/>
      <x:c r="K60" s="34"/>
      <x:c r="L60" s="34"/>
      <x:c r="M60" s="34"/>
      <x:c r="N60" s="34"/>
      <x:c r="O60" s="34" t="str">
        <x:v>Collected</x:v>
      </x:c>
      <x:c r="P60" s="34"/>
      <x:c r="Q60" s="35"/>
      <x:c r="R60" s="35"/>
    </x:row>
    <x:row r="61">
      <x:c r="A61" s="34" t="str">
        <x:f>IF(C61="","","SRC-"&amp;TEXT(ROW()-1,"000"))</x:f>
      </x:c>
      <x:c r="B61" s="35"/>
      <x:c r="C61" s="34"/>
      <x:c r="D61" s="34"/>
      <x:c r="E61" s="34"/>
      <x:c r="F61" s="34"/>
      <x:c r="G61" s="34"/>
      <x:c r="H61" s="34"/>
      <x:c r="I61" s="34"/>
      <x:c r="J61" s="34"/>
      <x:c r="K61" s="34"/>
      <x:c r="L61" s="34"/>
      <x:c r="M61" s="34"/>
      <x:c r="N61" s="34"/>
      <x:c r="O61" s="34" t="str">
        <x:v>Collected</x:v>
      </x:c>
      <x:c r="P61" s="34"/>
      <x:c r="Q61" s="35"/>
      <x:c r="R61" s="35"/>
    </x:row>
    <x:row r="62">
      <x:c r="A62" s="34" t="str">
        <x:f>IF(C62="","","SRC-"&amp;TEXT(ROW()-1,"000"))</x:f>
      </x:c>
      <x:c r="B62" s="35"/>
      <x:c r="C62" s="34"/>
      <x:c r="D62" s="34"/>
      <x:c r="E62" s="34"/>
      <x:c r="F62" s="34"/>
      <x:c r="G62" s="34"/>
      <x:c r="H62" s="34"/>
      <x:c r="I62" s="34"/>
      <x:c r="J62" s="34"/>
      <x:c r="K62" s="34"/>
      <x:c r="L62" s="34"/>
      <x:c r="M62" s="34"/>
      <x:c r="N62" s="34"/>
      <x:c r="O62" s="34" t="str">
        <x:v>Collected</x:v>
      </x:c>
      <x:c r="P62" s="34"/>
      <x:c r="Q62" s="35"/>
      <x:c r="R62" s="35"/>
    </x:row>
    <x:row r="63">
      <x:c r="A63" s="34" t="str">
        <x:f>IF(C63="","","SRC-"&amp;TEXT(ROW()-1,"000"))</x:f>
      </x:c>
      <x:c r="B63" s="35"/>
      <x:c r="C63" s="34"/>
      <x:c r="D63" s="34"/>
      <x:c r="E63" s="34"/>
      <x:c r="F63" s="34"/>
      <x:c r="G63" s="34"/>
      <x:c r="H63" s="34"/>
      <x:c r="I63" s="34"/>
      <x:c r="J63" s="34"/>
      <x:c r="K63" s="34"/>
      <x:c r="L63" s="34"/>
      <x:c r="M63" s="34"/>
      <x:c r="N63" s="34"/>
      <x:c r="O63" s="34" t="str">
        <x:v>Collected</x:v>
      </x:c>
      <x:c r="P63" s="34"/>
      <x:c r="Q63" s="35"/>
      <x:c r="R63" s="35"/>
    </x:row>
    <x:row r="64">
      <x:c r="A64" s="34" t="str">
        <x:f>IF(C64="","","SRC-"&amp;TEXT(ROW()-1,"000"))</x:f>
      </x:c>
      <x:c r="B64" s="35"/>
      <x:c r="C64" s="34"/>
      <x:c r="D64" s="34"/>
      <x:c r="E64" s="34"/>
      <x:c r="F64" s="34"/>
      <x:c r="G64" s="34"/>
      <x:c r="H64" s="34"/>
      <x:c r="I64" s="34"/>
      <x:c r="J64" s="34"/>
      <x:c r="K64" s="34"/>
      <x:c r="L64" s="34"/>
      <x:c r="M64" s="34"/>
      <x:c r="N64" s="34"/>
      <x:c r="O64" s="34" t="str">
        <x:v>Collected</x:v>
      </x:c>
      <x:c r="P64" s="34"/>
      <x:c r="Q64" s="35"/>
      <x:c r="R64" s="35"/>
    </x:row>
    <x:row r="65">
      <x:c r="A65" s="34" t="str">
        <x:f>IF(C65="","","SRC-"&amp;TEXT(ROW()-1,"000"))</x:f>
      </x:c>
      <x:c r="B65" s="35"/>
      <x:c r="C65" s="34"/>
      <x:c r="D65" s="34"/>
      <x:c r="E65" s="34"/>
      <x:c r="F65" s="34"/>
      <x:c r="G65" s="34"/>
      <x:c r="H65" s="34"/>
      <x:c r="I65" s="34"/>
      <x:c r="J65" s="34"/>
      <x:c r="K65" s="34"/>
      <x:c r="L65" s="34"/>
      <x:c r="M65" s="34"/>
      <x:c r="N65" s="34"/>
      <x:c r="O65" s="34" t="str">
        <x:v>Collected</x:v>
      </x:c>
      <x:c r="P65" s="34"/>
      <x:c r="Q65" s="35"/>
      <x:c r="R65" s="35"/>
    </x:row>
    <x:row r="66">
      <x:c r="A66" s="34" t="str">
        <x:f>IF(C66="","","SRC-"&amp;TEXT(ROW()-1,"000"))</x:f>
      </x:c>
      <x:c r="B66" s="35"/>
      <x:c r="C66" s="34"/>
      <x:c r="D66" s="34"/>
      <x:c r="E66" s="34"/>
      <x:c r="F66" s="34"/>
      <x:c r="G66" s="34"/>
      <x:c r="H66" s="34"/>
      <x:c r="I66" s="34"/>
      <x:c r="J66" s="34"/>
      <x:c r="K66" s="34"/>
      <x:c r="L66" s="34"/>
      <x:c r="M66" s="34"/>
      <x:c r="N66" s="34"/>
      <x:c r="O66" s="34" t="str">
        <x:v>Collected</x:v>
      </x:c>
      <x:c r="P66" s="34"/>
      <x:c r="Q66" s="35"/>
      <x:c r="R66" s="35"/>
    </x:row>
    <x:row r="67">
      <x:c r="A67" s="34" t="str">
        <x:f>IF(C67="","","SRC-"&amp;TEXT(ROW()-1,"000"))</x:f>
      </x:c>
      <x:c r="B67" s="35"/>
      <x:c r="C67" s="34"/>
      <x:c r="D67" s="34"/>
      <x:c r="E67" s="34"/>
      <x:c r="F67" s="34"/>
      <x:c r="G67" s="34"/>
      <x:c r="H67" s="34"/>
      <x:c r="I67" s="34"/>
      <x:c r="J67" s="34"/>
      <x:c r="K67" s="34"/>
      <x:c r="L67" s="34"/>
      <x:c r="M67" s="34"/>
      <x:c r="N67" s="34"/>
      <x:c r="O67" s="34" t="str">
        <x:v>Collected</x:v>
      </x:c>
      <x:c r="P67" s="34"/>
      <x:c r="Q67" s="35"/>
      <x:c r="R67" s="35"/>
    </x:row>
    <x:row r="68">
      <x:c r="A68" s="34" t="str">
        <x:f>IF(C68="","","SRC-"&amp;TEXT(ROW()-1,"000"))</x:f>
      </x:c>
      <x:c r="B68" s="35"/>
      <x:c r="C68" s="34"/>
      <x:c r="D68" s="34"/>
      <x:c r="E68" s="34"/>
      <x:c r="F68" s="34"/>
      <x:c r="G68" s="34"/>
      <x:c r="H68" s="34"/>
      <x:c r="I68" s="34"/>
      <x:c r="J68" s="34"/>
      <x:c r="K68" s="34"/>
      <x:c r="L68" s="34"/>
      <x:c r="M68" s="34"/>
      <x:c r="N68" s="34"/>
      <x:c r="O68" s="34" t="str">
        <x:v>Collected</x:v>
      </x:c>
      <x:c r="P68" s="34"/>
      <x:c r="Q68" s="35"/>
      <x:c r="R68" s="35"/>
    </x:row>
    <x:row r="69">
      <x:c r="A69" s="34" t="str">
        <x:f>IF(C69="","","SRC-"&amp;TEXT(ROW()-1,"000"))</x:f>
      </x:c>
      <x:c r="B69" s="35"/>
      <x:c r="C69" s="34"/>
      <x:c r="D69" s="34"/>
      <x:c r="E69" s="34"/>
      <x:c r="F69" s="34"/>
      <x:c r="G69" s="34"/>
      <x:c r="H69" s="34"/>
      <x:c r="I69" s="34"/>
      <x:c r="J69" s="34"/>
      <x:c r="K69" s="34"/>
      <x:c r="L69" s="34"/>
      <x:c r="M69" s="34"/>
      <x:c r="N69" s="34"/>
      <x:c r="O69" s="34" t="str">
        <x:v>Collected</x:v>
      </x:c>
      <x:c r="P69" s="34"/>
      <x:c r="Q69" s="35"/>
      <x:c r="R69" s="35"/>
    </x:row>
    <x:row r="70">
      <x:c r="A70" s="34" t="str">
        <x:f>IF(C70="","","SRC-"&amp;TEXT(ROW()-1,"000"))</x:f>
      </x:c>
      <x:c r="B70" s="35"/>
      <x:c r="C70" s="34"/>
      <x:c r="D70" s="34"/>
      <x:c r="E70" s="34"/>
      <x:c r="F70" s="34"/>
      <x:c r="G70" s="34"/>
      <x:c r="H70" s="34"/>
      <x:c r="I70" s="34"/>
      <x:c r="J70" s="34"/>
      <x:c r="K70" s="34"/>
      <x:c r="L70" s="34"/>
      <x:c r="M70" s="34"/>
      <x:c r="N70" s="34"/>
      <x:c r="O70" s="34" t="str">
        <x:v>Collected</x:v>
      </x:c>
      <x:c r="P70" s="34"/>
      <x:c r="Q70" s="35"/>
      <x:c r="R70" s="35"/>
    </x:row>
    <x:row r="71">
      <x:c r="A71" s="34" t="str">
        <x:f>IF(C71="","","SRC-"&amp;TEXT(ROW()-1,"000"))</x:f>
      </x:c>
      <x:c r="B71" s="35"/>
      <x:c r="C71" s="34"/>
      <x:c r="D71" s="34"/>
      <x:c r="E71" s="34"/>
      <x:c r="F71" s="34"/>
      <x:c r="G71" s="34"/>
      <x:c r="H71" s="34"/>
      <x:c r="I71" s="34"/>
      <x:c r="J71" s="34"/>
      <x:c r="K71" s="34"/>
      <x:c r="L71" s="34"/>
      <x:c r="M71" s="34"/>
      <x:c r="N71" s="34"/>
      <x:c r="O71" s="34" t="str">
        <x:v>Collected</x:v>
      </x:c>
      <x:c r="P71" s="34"/>
      <x:c r="Q71" s="35"/>
      <x:c r="R71" s="35"/>
    </x:row>
    <x:row r="72">
      <x:c r="A72" s="34" t="str">
        <x:f>IF(C72="","","SRC-"&amp;TEXT(ROW()-1,"000"))</x:f>
      </x:c>
      <x:c r="B72" s="35"/>
      <x:c r="C72" s="34"/>
      <x:c r="D72" s="34"/>
      <x:c r="E72" s="34"/>
      <x:c r="F72" s="34"/>
      <x:c r="G72" s="34"/>
      <x:c r="H72" s="34"/>
      <x:c r="I72" s="34"/>
      <x:c r="J72" s="34"/>
      <x:c r="K72" s="34"/>
      <x:c r="L72" s="34"/>
      <x:c r="M72" s="34"/>
      <x:c r="N72" s="34"/>
      <x:c r="O72" s="34" t="str">
        <x:v>Collected</x:v>
      </x:c>
      <x:c r="P72" s="34"/>
      <x:c r="Q72" s="35"/>
      <x:c r="R72" s="35"/>
    </x:row>
    <x:row r="73">
      <x:c r="A73" s="34" t="str">
        <x:f>IF(C73="","","SRC-"&amp;TEXT(ROW()-1,"000"))</x:f>
      </x:c>
      <x:c r="B73" s="35"/>
      <x:c r="C73" s="34"/>
      <x:c r="D73" s="34"/>
      <x:c r="E73" s="34"/>
      <x:c r="F73" s="34"/>
      <x:c r="G73" s="34"/>
      <x:c r="H73" s="34"/>
      <x:c r="I73" s="34"/>
      <x:c r="J73" s="34"/>
      <x:c r="K73" s="34"/>
      <x:c r="L73" s="34"/>
      <x:c r="M73" s="34"/>
      <x:c r="N73" s="34"/>
      <x:c r="O73" s="34" t="str">
        <x:v>Collected</x:v>
      </x:c>
      <x:c r="P73" s="34"/>
      <x:c r="Q73" s="35"/>
      <x:c r="R73" s="35"/>
    </x:row>
    <x:row r="74">
      <x:c r="A74" s="34" t="str">
        <x:f>IF(C74="","","SRC-"&amp;TEXT(ROW()-1,"000"))</x:f>
      </x:c>
      <x:c r="B74" s="35"/>
      <x:c r="C74" s="34"/>
      <x:c r="D74" s="34"/>
      <x:c r="E74" s="34"/>
      <x:c r="F74" s="34"/>
      <x:c r="G74" s="34"/>
      <x:c r="H74" s="34"/>
      <x:c r="I74" s="34"/>
      <x:c r="J74" s="34"/>
      <x:c r="K74" s="34"/>
      <x:c r="L74" s="34"/>
      <x:c r="M74" s="34"/>
      <x:c r="N74" s="34"/>
      <x:c r="O74" s="34" t="str">
        <x:v>Collected</x:v>
      </x:c>
      <x:c r="P74" s="34"/>
      <x:c r="Q74" s="35"/>
      <x:c r="R74" s="35"/>
    </x:row>
    <x:row r="75">
      <x:c r="A75" s="34" t="str">
        <x:f>IF(C75="","","SRC-"&amp;TEXT(ROW()-1,"000"))</x:f>
      </x:c>
      <x:c r="B75" s="35"/>
      <x:c r="C75" s="34"/>
      <x:c r="D75" s="34"/>
      <x:c r="E75" s="34"/>
      <x:c r="F75" s="34"/>
      <x:c r="G75" s="34"/>
      <x:c r="H75" s="34"/>
      <x:c r="I75" s="34"/>
      <x:c r="J75" s="34"/>
      <x:c r="K75" s="34"/>
      <x:c r="L75" s="34"/>
      <x:c r="M75" s="34"/>
      <x:c r="N75" s="34"/>
      <x:c r="O75" s="34" t="str">
        <x:v>Collected</x:v>
      </x:c>
      <x:c r="P75" s="34"/>
      <x:c r="Q75" s="35"/>
      <x:c r="R75" s="35"/>
    </x:row>
    <x:row r="76">
      <x:c r="A76" s="34" t="str">
        <x:f>IF(C76="","","SRC-"&amp;TEXT(ROW()-1,"000"))</x:f>
      </x:c>
      <x:c r="B76" s="35"/>
      <x:c r="C76" s="34"/>
      <x:c r="D76" s="34"/>
      <x:c r="E76" s="34"/>
      <x:c r="F76" s="34"/>
      <x:c r="G76" s="34"/>
      <x:c r="H76" s="34"/>
      <x:c r="I76" s="34"/>
      <x:c r="J76" s="34"/>
      <x:c r="K76" s="34"/>
      <x:c r="L76" s="34"/>
      <x:c r="M76" s="34"/>
      <x:c r="N76" s="34"/>
      <x:c r="O76" s="34" t="str">
        <x:v>Collected</x:v>
      </x:c>
      <x:c r="P76" s="34"/>
      <x:c r="Q76" s="35"/>
      <x:c r="R76" s="35"/>
    </x:row>
    <x:row r="77">
      <x:c r="A77" s="34" t="str">
        <x:f>IF(C77="","","SRC-"&amp;TEXT(ROW()-1,"000"))</x:f>
      </x:c>
      <x:c r="B77" s="35"/>
      <x:c r="C77" s="34"/>
      <x:c r="D77" s="34"/>
      <x:c r="E77" s="34"/>
      <x:c r="F77" s="34"/>
      <x:c r="G77" s="34"/>
      <x:c r="H77" s="34"/>
      <x:c r="I77" s="34"/>
      <x:c r="J77" s="34"/>
      <x:c r="K77" s="34"/>
      <x:c r="L77" s="34"/>
      <x:c r="M77" s="34"/>
      <x:c r="N77" s="34"/>
      <x:c r="O77" s="34" t="str">
        <x:v>Collected</x:v>
      </x:c>
      <x:c r="P77" s="34"/>
      <x:c r="Q77" s="35"/>
      <x:c r="R77" s="35"/>
    </x:row>
    <x:row r="78">
      <x:c r="A78" s="34" t="str">
        <x:f>IF(C78="","","SRC-"&amp;TEXT(ROW()-1,"000"))</x:f>
      </x:c>
      <x:c r="B78" s="35"/>
      <x:c r="C78" s="34"/>
      <x:c r="D78" s="34"/>
      <x:c r="E78" s="34"/>
      <x:c r="F78" s="34"/>
      <x:c r="G78" s="34"/>
      <x:c r="H78" s="34"/>
      <x:c r="I78" s="34"/>
      <x:c r="J78" s="34"/>
      <x:c r="K78" s="34"/>
      <x:c r="L78" s="34"/>
      <x:c r="M78" s="34"/>
      <x:c r="N78" s="34"/>
      <x:c r="O78" s="34" t="str">
        <x:v>Collected</x:v>
      </x:c>
      <x:c r="P78" s="34"/>
      <x:c r="Q78" s="35"/>
      <x:c r="R78" s="35"/>
    </x:row>
    <x:row r="79">
      <x:c r="A79" s="34" t="str">
        <x:f>IF(C79="","","SRC-"&amp;TEXT(ROW()-1,"000"))</x:f>
      </x:c>
      <x:c r="B79" s="35"/>
      <x:c r="C79" s="34"/>
      <x:c r="D79" s="34"/>
      <x:c r="E79" s="34"/>
      <x:c r="F79" s="34"/>
      <x:c r="G79" s="34"/>
      <x:c r="H79" s="34"/>
      <x:c r="I79" s="34"/>
      <x:c r="J79" s="34"/>
      <x:c r="K79" s="34"/>
      <x:c r="L79" s="34"/>
      <x:c r="M79" s="34"/>
      <x:c r="N79" s="34"/>
      <x:c r="O79" s="34" t="str">
        <x:v>Collected</x:v>
      </x:c>
      <x:c r="P79" s="34"/>
      <x:c r="Q79" s="35"/>
      <x:c r="R79" s="35"/>
    </x:row>
    <x:row r="80">
      <x:c r="A80" s="34" t="str">
        <x:f>IF(C80="","","SRC-"&amp;TEXT(ROW()-1,"000"))</x:f>
      </x:c>
      <x:c r="B80" s="35"/>
      <x:c r="C80" s="34"/>
      <x:c r="D80" s="34"/>
      <x:c r="E80" s="34"/>
      <x:c r="F80" s="34"/>
      <x:c r="G80" s="34"/>
      <x:c r="H80" s="34"/>
      <x:c r="I80" s="34"/>
      <x:c r="J80" s="34"/>
      <x:c r="K80" s="34"/>
      <x:c r="L80" s="34"/>
      <x:c r="M80" s="34"/>
      <x:c r="N80" s="34"/>
      <x:c r="O80" s="34" t="str">
        <x:v>Collected</x:v>
      </x:c>
      <x:c r="P80" s="34"/>
      <x:c r="Q80" s="35"/>
      <x:c r="R80" s="35"/>
    </x:row>
    <x:row r="81">
      <x:c r="A81" s="34" t="str">
        <x:f>IF(C81="","","SRC-"&amp;TEXT(ROW()-1,"000"))</x:f>
      </x:c>
      <x:c r="B81" s="35"/>
      <x:c r="C81" s="34"/>
      <x:c r="D81" s="34"/>
      <x:c r="E81" s="34"/>
      <x:c r="F81" s="34"/>
      <x:c r="G81" s="34"/>
      <x:c r="H81" s="34"/>
      <x:c r="I81" s="34"/>
      <x:c r="J81" s="34"/>
      <x:c r="K81" s="34"/>
      <x:c r="L81" s="34"/>
      <x:c r="M81" s="34"/>
      <x:c r="N81" s="34"/>
      <x:c r="O81" s="34" t="str">
        <x:v>Collected</x:v>
      </x:c>
      <x:c r="P81" s="34"/>
      <x:c r="Q81" s="35"/>
      <x:c r="R81" s="35"/>
    </x:row>
    <x:row r="82">
      <x:c r="A82" s="34" t="str">
        <x:f>IF(C82="","","SRC-"&amp;TEXT(ROW()-1,"000"))</x:f>
      </x:c>
      <x:c r="B82" s="35"/>
      <x:c r="C82" s="34"/>
      <x:c r="D82" s="34"/>
      <x:c r="E82" s="34"/>
      <x:c r="F82" s="34"/>
      <x:c r="G82" s="34"/>
      <x:c r="H82" s="34"/>
      <x:c r="I82" s="34"/>
      <x:c r="J82" s="34"/>
      <x:c r="K82" s="34"/>
      <x:c r="L82" s="34"/>
      <x:c r="M82" s="34"/>
      <x:c r="N82" s="34"/>
      <x:c r="O82" s="34" t="str">
        <x:v>Collected</x:v>
      </x:c>
      <x:c r="P82" s="34"/>
      <x:c r="Q82" s="35"/>
      <x:c r="R82" s="35"/>
    </x:row>
    <x:row r="83">
      <x:c r="A83" s="34" t="str">
        <x:f>IF(C83="","","SRC-"&amp;TEXT(ROW()-1,"000"))</x:f>
      </x:c>
      <x:c r="B83" s="35"/>
      <x:c r="C83" s="34"/>
      <x:c r="D83" s="34"/>
      <x:c r="E83" s="34"/>
      <x:c r="F83" s="34"/>
      <x:c r="G83" s="34"/>
      <x:c r="H83" s="34"/>
      <x:c r="I83" s="34"/>
      <x:c r="J83" s="34"/>
      <x:c r="K83" s="34"/>
      <x:c r="L83" s="34"/>
      <x:c r="M83" s="34"/>
      <x:c r="N83" s="34"/>
      <x:c r="O83" s="34" t="str">
        <x:v>Collected</x:v>
      </x:c>
      <x:c r="P83" s="34"/>
      <x:c r="Q83" s="35"/>
      <x:c r="R83" s="35"/>
    </x:row>
    <x:row r="84">
      <x:c r="A84" s="34" t="str">
        <x:f>IF(C84="","","SRC-"&amp;TEXT(ROW()-1,"000"))</x:f>
      </x:c>
      <x:c r="B84" s="35"/>
      <x:c r="C84" s="34"/>
      <x:c r="D84" s="34"/>
      <x:c r="E84" s="34"/>
      <x:c r="F84" s="34"/>
      <x:c r="G84" s="34"/>
      <x:c r="H84" s="34"/>
      <x:c r="I84" s="34"/>
      <x:c r="J84" s="34"/>
      <x:c r="K84" s="34"/>
      <x:c r="L84" s="34"/>
      <x:c r="M84" s="34"/>
      <x:c r="N84" s="34"/>
      <x:c r="O84" s="34" t="str">
        <x:v>Collected</x:v>
      </x:c>
      <x:c r="P84" s="34"/>
      <x:c r="Q84" s="35"/>
      <x:c r="R84" s="35"/>
    </x:row>
    <x:row r="85">
      <x:c r="A85" s="34" t="str">
        <x:f>IF(C85="","","SRC-"&amp;TEXT(ROW()-1,"000"))</x:f>
      </x:c>
      <x:c r="B85" s="35"/>
      <x:c r="C85" s="34"/>
      <x:c r="D85" s="34"/>
      <x:c r="E85" s="34"/>
      <x:c r="F85" s="34"/>
      <x:c r="G85" s="34"/>
      <x:c r="H85" s="34"/>
      <x:c r="I85" s="34"/>
      <x:c r="J85" s="34"/>
      <x:c r="K85" s="34"/>
      <x:c r="L85" s="34"/>
      <x:c r="M85" s="34"/>
      <x:c r="N85" s="34"/>
      <x:c r="O85" s="34" t="str">
        <x:v>Collected</x:v>
      </x:c>
      <x:c r="P85" s="34"/>
      <x:c r="Q85" s="35"/>
      <x:c r="R85" s="35"/>
    </x:row>
    <x:row r="86">
      <x:c r="A86" s="34" t="str">
        <x:f>IF(C86="","","SRC-"&amp;TEXT(ROW()-1,"000"))</x:f>
      </x:c>
      <x:c r="B86" s="35"/>
      <x:c r="C86" s="34"/>
      <x:c r="D86" s="34"/>
      <x:c r="E86" s="34"/>
      <x:c r="F86" s="34"/>
      <x:c r="G86" s="34"/>
      <x:c r="H86" s="34"/>
      <x:c r="I86" s="34"/>
      <x:c r="J86" s="34"/>
      <x:c r="K86" s="34"/>
      <x:c r="L86" s="34"/>
      <x:c r="M86" s="34"/>
      <x:c r="N86" s="34"/>
      <x:c r="O86" s="34" t="str">
        <x:v>Collected</x:v>
      </x:c>
      <x:c r="P86" s="34"/>
      <x:c r="Q86" s="35"/>
      <x:c r="R86" s="35"/>
    </x:row>
    <x:row r="87">
      <x:c r="A87" s="34" t="str">
        <x:f>IF(C87="","","SRC-"&amp;TEXT(ROW()-1,"000"))</x:f>
      </x:c>
      <x:c r="B87" s="35"/>
      <x:c r="C87" s="34"/>
      <x:c r="D87" s="34"/>
      <x:c r="E87" s="34"/>
      <x:c r="F87" s="34"/>
      <x:c r="G87" s="34"/>
      <x:c r="H87" s="34"/>
      <x:c r="I87" s="34"/>
      <x:c r="J87" s="34"/>
      <x:c r="K87" s="34"/>
      <x:c r="L87" s="34"/>
      <x:c r="M87" s="34"/>
      <x:c r="N87" s="34"/>
      <x:c r="O87" s="34" t="str">
        <x:v>Collected</x:v>
      </x:c>
      <x:c r="P87" s="34"/>
      <x:c r="Q87" s="35"/>
      <x:c r="R87" s="35"/>
    </x:row>
    <x:row r="88">
      <x:c r="A88" s="34" t="str">
        <x:f>IF(C88="","","SRC-"&amp;TEXT(ROW()-1,"000"))</x:f>
      </x:c>
      <x:c r="B88" s="35"/>
      <x:c r="C88" s="34"/>
      <x:c r="D88" s="34"/>
      <x:c r="E88" s="34"/>
      <x:c r="F88" s="34"/>
      <x:c r="G88" s="34"/>
      <x:c r="H88" s="34"/>
      <x:c r="I88" s="34"/>
      <x:c r="J88" s="34"/>
      <x:c r="K88" s="34"/>
      <x:c r="L88" s="34"/>
      <x:c r="M88" s="34"/>
      <x:c r="N88" s="34"/>
      <x:c r="O88" s="34" t="str">
        <x:v>Collected</x:v>
      </x:c>
      <x:c r="P88" s="34"/>
      <x:c r="Q88" s="35"/>
      <x:c r="R88" s="35"/>
    </x:row>
    <x:row r="89">
      <x:c r="A89" s="34" t="str">
        <x:f>IF(C89="","","SRC-"&amp;TEXT(ROW()-1,"000"))</x:f>
      </x:c>
      <x:c r="B89" s="35"/>
      <x:c r="C89" s="34"/>
      <x:c r="D89" s="34"/>
      <x:c r="E89" s="34"/>
      <x:c r="F89" s="34"/>
      <x:c r="G89" s="34"/>
      <x:c r="H89" s="34"/>
      <x:c r="I89" s="34"/>
      <x:c r="J89" s="34"/>
      <x:c r="K89" s="34"/>
      <x:c r="L89" s="34"/>
      <x:c r="M89" s="34"/>
      <x:c r="N89" s="34"/>
      <x:c r="O89" s="34" t="str">
        <x:v>Collected</x:v>
      </x:c>
      <x:c r="P89" s="34"/>
      <x:c r="Q89" s="35"/>
      <x:c r="R89" s="35"/>
    </x:row>
    <x:row r="90">
      <x:c r="A90" s="34" t="str">
        <x:f>IF(C90="","","SRC-"&amp;TEXT(ROW()-1,"000"))</x:f>
      </x:c>
      <x:c r="B90" s="35"/>
      <x:c r="C90" s="34"/>
      <x:c r="D90" s="34"/>
      <x:c r="E90" s="34"/>
      <x:c r="F90" s="34"/>
      <x:c r="G90" s="34"/>
      <x:c r="H90" s="34"/>
      <x:c r="I90" s="34"/>
      <x:c r="J90" s="34"/>
      <x:c r="K90" s="34"/>
      <x:c r="L90" s="34"/>
      <x:c r="M90" s="34"/>
      <x:c r="N90" s="34"/>
      <x:c r="O90" s="34" t="str">
        <x:v>Collected</x:v>
      </x:c>
      <x:c r="P90" s="34"/>
      <x:c r="Q90" s="35"/>
      <x:c r="R90" s="35"/>
    </x:row>
    <x:row r="91">
      <x:c r="A91" s="34" t="str">
        <x:f>IF(C91="","","SRC-"&amp;TEXT(ROW()-1,"000"))</x:f>
      </x:c>
      <x:c r="B91" s="35"/>
      <x:c r="C91" s="34"/>
      <x:c r="D91" s="34"/>
      <x:c r="E91" s="34"/>
      <x:c r="F91" s="34"/>
      <x:c r="G91" s="34"/>
      <x:c r="H91" s="34"/>
      <x:c r="I91" s="34"/>
      <x:c r="J91" s="34"/>
      <x:c r="K91" s="34"/>
      <x:c r="L91" s="34"/>
      <x:c r="M91" s="34"/>
      <x:c r="N91" s="34"/>
      <x:c r="O91" s="34" t="str">
        <x:v>Collected</x:v>
      </x:c>
      <x:c r="P91" s="34"/>
      <x:c r="Q91" s="35"/>
      <x:c r="R91" s="35"/>
    </x:row>
    <x:row r="92">
      <x:c r="A92" s="34" t="str">
        <x:f>IF(C92="","","SRC-"&amp;TEXT(ROW()-1,"000"))</x:f>
      </x:c>
      <x:c r="B92" s="35"/>
      <x:c r="C92" s="34"/>
      <x:c r="D92" s="34"/>
      <x:c r="E92" s="34"/>
      <x:c r="F92" s="34"/>
      <x:c r="G92" s="34"/>
      <x:c r="H92" s="34"/>
      <x:c r="I92" s="34"/>
      <x:c r="J92" s="34"/>
      <x:c r="K92" s="34"/>
      <x:c r="L92" s="34"/>
      <x:c r="M92" s="34"/>
      <x:c r="N92" s="34"/>
      <x:c r="O92" s="34" t="str">
        <x:v>Collected</x:v>
      </x:c>
      <x:c r="P92" s="34"/>
      <x:c r="Q92" s="35"/>
      <x:c r="R92" s="35"/>
    </x:row>
    <x:row r="93">
      <x:c r="A93" s="34" t="str">
        <x:f>IF(C93="","","SRC-"&amp;TEXT(ROW()-1,"000"))</x:f>
      </x:c>
      <x:c r="B93" s="35"/>
      <x:c r="C93" s="34"/>
      <x:c r="D93" s="34"/>
      <x:c r="E93" s="34"/>
      <x:c r="F93" s="34"/>
      <x:c r="G93" s="34"/>
      <x:c r="H93" s="34"/>
      <x:c r="I93" s="34"/>
      <x:c r="J93" s="34"/>
      <x:c r="K93" s="34"/>
      <x:c r="L93" s="34"/>
      <x:c r="M93" s="34"/>
      <x:c r="N93" s="34"/>
      <x:c r="O93" s="34" t="str">
        <x:v>Collected</x:v>
      </x:c>
      <x:c r="P93" s="34"/>
      <x:c r="Q93" s="35"/>
      <x:c r="R93" s="35"/>
    </x:row>
    <x:row r="94">
      <x:c r="A94" s="34" t="str">
        <x:f>IF(C94="","","SRC-"&amp;TEXT(ROW()-1,"000"))</x:f>
      </x:c>
      <x:c r="B94" s="35"/>
      <x:c r="C94" s="34"/>
      <x:c r="D94" s="34"/>
      <x:c r="E94" s="34"/>
      <x:c r="F94" s="34"/>
      <x:c r="G94" s="34"/>
      <x:c r="H94" s="34"/>
      <x:c r="I94" s="34"/>
      <x:c r="J94" s="34"/>
      <x:c r="K94" s="34"/>
      <x:c r="L94" s="34"/>
      <x:c r="M94" s="34"/>
      <x:c r="N94" s="34"/>
      <x:c r="O94" s="34" t="str">
        <x:v>Collected</x:v>
      </x:c>
      <x:c r="P94" s="34"/>
      <x:c r="Q94" s="35"/>
      <x:c r="R94" s="35"/>
    </x:row>
    <x:row r="95">
      <x:c r="A95" s="34" t="str">
        <x:f>IF(C95="","","SRC-"&amp;TEXT(ROW()-1,"000"))</x:f>
      </x:c>
      <x:c r="B95" s="35"/>
      <x:c r="C95" s="34"/>
      <x:c r="D95" s="34"/>
      <x:c r="E95" s="34"/>
      <x:c r="F95" s="34"/>
      <x:c r="G95" s="34"/>
      <x:c r="H95" s="34"/>
      <x:c r="I95" s="34"/>
      <x:c r="J95" s="34"/>
      <x:c r="K95" s="34"/>
      <x:c r="L95" s="34"/>
      <x:c r="M95" s="34"/>
      <x:c r="N95" s="34"/>
      <x:c r="O95" s="34" t="str">
        <x:v>Collected</x:v>
      </x:c>
      <x:c r="P95" s="34"/>
      <x:c r="Q95" s="35"/>
      <x:c r="R95" s="35"/>
    </x:row>
    <x:row r="96">
      <x:c r="A96" s="34" t="str">
        <x:f>IF(C96="","","SRC-"&amp;TEXT(ROW()-1,"000"))</x:f>
      </x:c>
      <x:c r="B96" s="35"/>
      <x:c r="C96" s="34"/>
      <x:c r="D96" s="34"/>
      <x:c r="E96" s="34"/>
      <x:c r="F96" s="34"/>
      <x:c r="G96" s="34"/>
      <x:c r="H96" s="34"/>
      <x:c r="I96" s="34"/>
      <x:c r="J96" s="34"/>
      <x:c r="K96" s="34"/>
      <x:c r="L96" s="34"/>
      <x:c r="M96" s="34"/>
      <x:c r="N96" s="34"/>
      <x:c r="O96" s="34" t="str">
        <x:v>Collected</x:v>
      </x:c>
      <x:c r="P96" s="34"/>
      <x:c r="Q96" s="35"/>
      <x:c r="R96" s="35"/>
    </x:row>
    <x:row r="97">
      <x:c r="A97" s="34" t="str">
        <x:f>IF(C97="","","SRC-"&amp;TEXT(ROW()-1,"000"))</x:f>
      </x:c>
      <x:c r="B97" s="35"/>
      <x:c r="C97" s="34"/>
      <x:c r="D97" s="34"/>
      <x:c r="E97" s="34"/>
      <x:c r="F97" s="34"/>
      <x:c r="G97" s="34"/>
      <x:c r="H97" s="34"/>
      <x:c r="I97" s="34"/>
      <x:c r="J97" s="34"/>
      <x:c r="K97" s="34"/>
      <x:c r="L97" s="34"/>
      <x:c r="M97" s="34"/>
      <x:c r="N97" s="34"/>
      <x:c r="O97" s="34" t="str">
        <x:v>Collected</x:v>
      </x:c>
      <x:c r="P97" s="34"/>
      <x:c r="Q97" s="35"/>
      <x:c r="R97" s="35"/>
    </x:row>
    <x:row r="98">
      <x:c r="A98" s="34" t="str">
        <x:f>IF(C98="","","SRC-"&amp;TEXT(ROW()-1,"000"))</x:f>
      </x:c>
      <x:c r="B98" s="35"/>
      <x:c r="C98" s="34"/>
      <x:c r="D98" s="34"/>
      <x:c r="E98" s="34"/>
      <x:c r="F98" s="34"/>
      <x:c r="G98" s="34"/>
      <x:c r="H98" s="34"/>
      <x:c r="I98" s="34"/>
      <x:c r="J98" s="34"/>
      <x:c r="K98" s="34"/>
      <x:c r="L98" s="34"/>
      <x:c r="M98" s="34"/>
      <x:c r="N98" s="34"/>
      <x:c r="O98" s="34" t="str">
        <x:v>Collected</x:v>
      </x:c>
      <x:c r="P98" s="34"/>
      <x:c r="Q98" s="35"/>
      <x:c r="R98" s="35"/>
    </x:row>
    <x:row r="99">
      <x:c r="A99" s="34" t="str">
        <x:f>IF(C99="","","SRC-"&amp;TEXT(ROW()-1,"000"))</x:f>
      </x:c>
      <x:c r="B99" s="35"/>
      <x:c r="C99" s="34"/>
      <x:c r="D99" s="34"/>
      <x:c r="E99" s="34"/>
      <x:c r="F99" s="34"/>
      <x:c r="G99" s="34"/>
      <x:c r="H99" s="34"/>
      <x:c r="I99" s="34"/>
      <x:c r="J99" s="34"/>
      <x:c r="K99" s="34"/>
      <x:c r="L99" s="34"/>
      <x:c r="M99" s="34"/>
      <x:c r="N99" s="34"/>
      <x:c r="O99" s="34" t="str">
        <x:v>Collected</x:v>
      </x:c>
      <x:c r="P99" s="34"/>
      <x:c r="Q99" s="35"/>
      <x:c r="R99" s="35"/>
    </x:row>
    <x:row r="100">
      <x:c r="A100" s="34" t="str">
        <x:f>IF(C100="","","SRC-"&amp;TEXT(ROW()-1,"000"))</x:f>
      </x:c>
      <x:c r="B100" s="35"/>
      <x:c r="C100" s="34"/>
      <x:c r="D100" s="34"/>
      <x:c r="E100" s="34"/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 t="str">
        <x:v>Collected</x:v>
      </x:c>
      <x:c r="P100" s="34"/>
      <x:c r="Q100" s="35"/>
      <x:c r="R100" s="35"/>
    </x:row>
    <x:row r="101">
      <x:c r="A101" s="34" t="str">
        <x:f>IF(C101="","","SRC-"&amp;TEXT(ROW()-1,"000"))</x:f>
      </x:c>
      <x:c r="B101" s="35"/>
      <x:c r="C101" s="34"/>
      <x:c r="D101" s="34"/>
      <x:c r="E101" s="34"/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 t="str">
        <x:v>Collected</x:v>
      </x:c>
      <x:c r="P101" s="34"/>
      <x:c r="Q101" s="35"/>
      <x:c r="R101" s="35"/>
    </x:row>
    <x:row r="102">
      <x:c r="A102" s="34" t="str">
        <x:f>IF(C102="","","SRC-"&amp;TEXT(ROW()-1,"000"))</x:f>
      </x:c>
      <x:c r="B102" s="35"/>
      <x:c r="C102" s="34"/>
      <x:c r="D102" s="34"/>
      <x:c r="E102" s="34"/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 t="str">
        <x:v>Collected</x:v>
      </x:c>
      <x:c r="P102" s="34"/>
      <x:c r="Q102" s="35"/>
      <x:c r="R102" s="35"/>
    </x:row>
    <x:row r="103">
      <x:c r="A103" s="34" t="str">
        <x:f>IF(C103="","","SRC-"&amp;TEXT(ROW()-1,"000"))</x:f>
      </x:c>
      <x:c r="B103" s="35"/>
      <x:c r="C103" s="34"/>
      <x:c r="D103" s="34"/>
      <x:c r="E103" s="34"/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 t="str">
        <x:v>Collected</x:v>
      </x:c>
      <x:c r="P103" s="34"/>
      <x:c r="Q103" s="35"/>
      <x:c r="R103" s="35"/>
    </x:row>
    <x:row r="104">
      <x:c r="A104" s="34" t="str">
        <x:f>IF(C104="","","SRC-"&amp;TEXT(ROW()-1,"000"))</x:f>
      </x:c>
      <x:c r="B104" s="35"/>
      <x:c r="C104" s="34"/>
      <x:c r="D104" s="34"/>
      <x:c r="E104" s="34"/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 t="str">
        <x:v>Collected</x:v>
      </x:c>
      <x:c r="P104" s="34"/>
      <x:c r="Q104" s="35"/>
      <x:c r="R104" s="35"/>
    </x:row>
    <x:row r="105">
      <x:c r="A105" s="34" t="str">
        <x:f>IF(C105="","","SRC-"&amp;TEXT(ROW()-1,"000"))</x:f>
      </x:c>
      <x:c r="B105" s="35"/>
      <x:c r="C105" s="34"/>
      <x:c r="D105" s="34"/>
      <x:c r="E105" s="34"/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 t="str">
        <x:v>Collected</x:v>
      </x:c>
      <x:c r="P105" s="34"/>
      <x:c r="Q105" s="35"/>
      <x:c r="R105" s="35"/>
    </x:row>
    <x:row r="106">
      <x:c r="A106" s="34" t="str">
        <x:f>IF(C106="","","SRC-"&amp;TEXT(ROW()-1,"000"))</x:f>
      </x:c>
      <x:c r="B106" s="35"/>
      <x:c r="C106" s="34"/>
      <x:c r="D106" s="34"/>
      <x:c r="E106" s="34"/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 t="str">
        <x:v>Collected</x:v>
      </x:c>
      <x:c r="P106" s="34"/>
      <x:c r="Q106" s="35"/>
      <x:c r="R106" s="35"/>
    </x:row>
    <x:row r="107">
      <x:c r="A107" s="34" t="str">
        <x:f>IF(C107="","","SRC-"&amp;TEXT(ROW()-1,"000"))</x:f>
      </x:c>
      <x:c r="B107" s="35"/>
      <x:c r="C107" s="34"/>
      <x:c r="D107" s="34"/>
      <x:c r="E107" s="34"/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 t="str">
        <x:v>Collected</x:v>
      </x:c>
      <x:c r="P107" s="34"/>
      <x:c r="Q107" s="35"/>
      <x:c r="R107" s="35"/>
    </x:row>
    <x:row r="108">
      <x:c r="A108" s="34" t="str">
        <x:f>IF(C108="","","SRC-"&amp;TEXT(ROW()-1,"000"))</x:f>
      </x:c>
      <x:c r="B108" s="35"/>
      <x:c r="C108" s="34"/>
      <x:c r="D108" s="34"/>
      <x:c r="E108" s="34"/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 t="str">
        <x:v>Collected</x:v>
      </x:c>
      <x:c r="P108" s="34"/>
      <x:c r="Q108" s="35"/>
      <x:c r="R108" s="35"/>
    </x:row>
    <x:row r="109">
      <x:c r="A109" s="34" t="str">
        <x:f>IF(C109="","","SRC-"&amp;TEXT(ROW()-1,"000"))</x:f>
      </x:c>
      <x:c r="B109" s="35"/>
      <x:c r="C109" s="34"/>
      <x:c r="D109" s="34"/>
      <x:c r="E109" s="34"/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 t="str">
        <x:v>Collected</x:v>
      </x:c>
      <x:c r="P109" s="34"/>
      <x:c r="Q109" s="35"/>
      <x:c r="R109" s="35"/>
    </x:row>
    <x:row r="110">
      <x:c r="A110" s="34" t="str">
        <x:f>IF(C110="","","SRC-"&amp;TEXT(ROW()-1,"000"))</x:f>
      </x:c>
      <x:c r="B110" s="35"/>
      <x:c r="C110" s="34"/>
      <x:c r="D110" s="34"/>
      <x:c r="E110" s="34"/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 t="str">
        <x:v>Collected</x:v>
      </x:c>
      <x:c r="P110" s="34"/>
      <x:c r="Q110" s="35"/>
      <x:c r="R110" s="35"/>
    </x:row>
    <x:row r="111">
      <x:c r="A111" s="34" t="str">
        <x:f>IF(C111="","","SRC-"&amp;TEXT(ROW()-1,"000"))</x:f>
      </x:c>
      <x:c r="B111" s="35"/>
      <x:c r="C111" s="34"/>
      <x:c r="D111" s="34"/>
      <x:c r="E111" s="34"/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 t="str">
        <x:v>Collected</x:v>
      </x:c>
      <x:c r="P111" s="34"/>
      <x:c r="Q111" s="35"/>
      <x:c r="R111" s="35"/>
    </x:row>
    <x:row r="112">
      <x:c r="A112" s="34" t="str">
        <x:f>IF(C112="","","SRC-"&amp;TEXT(ROW()-1,"000"))</x:f>
      </x:c>
      <x:c r="B112" s="35"/>
      <x:c r="C112" s="34"/>
      <x:c r="D112" s="34"/>
      <x:c r="E112" s="34"/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 t="str">
        <x:v>Collected</x:v>
      </x:c>
      <x:c r="P112" s="34"/>
      <x:c r="Q112" s="35"/>
      <x:c r="R112" s="35"/>
    </x:row>
    <x:row r="113">
      <x:c r="A113" s="34" t="str">
        <x:f>IF(C113="","","SRC-"&amp;TEXT(ROW()-1,"000"))</x:f>
      </x:c>
      <x:c r="B113" s="35"/>
      <x:c r="C113" s="34"/>
      <x:c r="D113" s="34"/>
      <x:c r="E113" s="34"/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 t="str">
        <x:v>Collected</x:v>
      </x:c>
      <x:c r="P113" s="34"/>
      <x:c r="Q113" s="35"/>
      <x:c r="R113" s="35"/>
    </x:row>
    <x:row r="114">
      <x:c r="A114" s="34" t="str">
        <x:f>IF(C114="","","SRC-"&amp;TEXT(ROW()-1,"000"))</x:f>
      </x:c>
      <x:c r="B114" s="35"/>
      <x:c r="C114" s="34"/>
      <x:c r="D114" s="34"/>
      <x:c r="E114" s="34"/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 t="str">
        <x:v>Collected</x:v>
      </x:c>
      <x:c r="P114" s="34"/>
      <x:c r="Q114" s="35"/>
      <x:c r="R114" s="35"/>
    </x:row>
    <x:row r="115">
      <x:c r="A115" s="34" t="str">
        <x:f>IF(C115="","","SRC-"&amp;TEXT(ROW()-1,"000"))</x:f>
      </x:c>
      <x:c r="B115" s="35"/>
      <x:c r="C115" s="34"/>
      <x:c r="D115" s="34"/>
      <x:c r="E115" s="34"/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 t="str">
        <x:v>Collected</x:v>
      </x:c>
      <x:c r="P115" s="34"/>
      <x:c r="Q115" s="35"/>
      <x:c r="R115" s="35"/>
    </x:row>
    <x:row r="116">
      <x:c r="A116" s="34" t="str">
        <x:f>IF(C116="","","SRC-"&amp;TEXT(ROW()-1,"000"))</x:f>
      </x:c>
      <x:c r="B116" s="35"/>
      <x:c r="C116" s="34"/>
      <x:c r="D116" s="34"/>
      <x:c r="E116" s="34"/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 t="str">
        <x:v>Collected</x:v>
      </x:c>
      <x:c r="P116" s="34"/>
      <x:c r="Q116" s="35"/>
      <x:c r="R116" s="35"/>
    </x:row>
    <x:row r="117">
      <x:c r="A117" s="34" t="str">
        <x:f>IF(C117="","","SRC-"&amp;TEXT(ROW()-1,"000"))</x:f>
      </x:c>
      <x:c r="B117" s="35"/>
      <x:c r="C117" s="34"/>
      <x:c r="D117" s="34"/>
      <x:c r="E117" s="34"/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 t="str">
        <x:v>Collected</x:v>
      </x:c>
      <x:c r="P117" s="34"/>
      <x:c r="Q117" s="35"/>
      <x:c r="R117" s="35"/>
    </x:row>
    <x:row r="118">
      <x:c r="A118" s="34" t="str">
        <x:f>IF(C118="","","SRC-"&amp;TEXT(ROW()-1,"000"))</x:f>
      </x:c>
      <x:c r="B118" s="35"/>
      <x:c r="C118" s="34"/>
      <x:c r="D118" s="34"/>
      <x:c r="E118" s="34"/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 t="str">
        <x:v>Collected</x:v>
      </x:c>
      <x:c r="P118" s="34"/>
      <x:c r="Q118" s="35"/>
      <x:c r="R118" s="35"/>
    </x:row>
    <x:row r="119">
      <x:c r="A119" s="34" t="str">
        <x:f>IF(C119="","","SRC-"&amp;TEXT(ROW()-1,"000"))</x:f>
      </x:c>
      <x:c r="B119" s="35"/>
      <x:c r="C119" s="34"/>
      <x:c r="D119" s="34"/>
      <x:c r="E119" s="34"/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 t="str">
        <x:v>Collected</x:v>
      </x:c>
      <x:c r="P119" s="34"/>
      <x:c r="Q119" s="35"/>
      <x:c r="R119" s="35"/>
    </x:row>
    <x:row r="120">
      <x:c r="A120" s="34" t="str">
        <x:f>IF(C120="","","SRC-"&amp;TEXT(ROW()-1,"000"))</x:f>
      </x:c>
      <x:c r="B120" s="35"/>
      <x:c r="C120" s="34"/>
      <x:c r="D120" s="34"/>
      <x:c r="E120" s="34"/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 t="str">
        <x:v>Collected</x:v>
      </x:c>
      <x:c r="P120" s="34"/>
      <x:c r="Q120" s="35"/>
      <x:c r="R120" s="35"/>
    </x:row>
    <x:row r="121">
      <x:c r="A121" s="34" t="str">
        <x:f>IF(C121="","","SRC-"&amp;TEXT(ROW()-1,"000"))</x:f>
      </x:c>
      <x:c r="B121" s="35"/>
      <x:c r="C121" s="34"/>
      <x:c r="D121" s="34"/>
      <x:c r="E121" s="34"/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 t="str">
        <x:v>Collected</x:v>
      </x:c>
      <x:c r="P121" s="34"/>
      <x:c r="Q121" s="35"/>
      <x:c r="R121" s="35"/>
    </x:row>
    <x:row r="122">
      <x:c r="A122" s="34" t="str">
        <x:f>IF(C122="","","SRC-"&amp;TEXT(ROW()-1,"000"))</x:f>
      </x:c>
      <x:c r="B122" s="35"/>
      <x:c r="C122" s="34"/>
      <x:c r="D122" s="34"/>
      <x:c r="E122" s="34"/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 t="str">
        <x:v>Collected</x:v>
      </x:c>
      <x:c r="P122" s="34"/>
      <x:c r="Q122" s="35"/>
      <x:c r="R122" s="35"/>
    </x:row>
    <x:row r="123">
      <x:c r="A123" s="34" t="str">
        <x:f>IF(C123="","","SRC-"&amp;TEXT(ROW()-1,"000"))</x:f>
      </x:c>
      <x:c r="B123" s="35"/>
      <x:c r="C123" s="34"/>
      <x:c r="D123" s="34"/>
      <x:c r="E123" s="34"/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 t="str">
        <x:v>Collected</x:v>
      </x:c>
      <x:c r="P123" s="34"/>
      <x:c r="Q123" s="35"/>
      <x:c r="R123" s="35"/>
    </x:row>
    <x:row r="124">
      <x:c r="A124" s="34" t="str">
        <x:f>IF(C124="","","SRC-"&amp;TEXT(ROW()-1,"000"))</x:f>
      </x:c>
      <x:c r="B124" s="35"/>
      <x:c r="C124" s="34"/>
      <x:c r="D124" s="34"/>
      <x:c r="E124" s="34"/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 t="str">
        <x:v>Collected</x:v>
      </x:c>
      <x:c r="P124" s="34"/>
      <x:c r="Q124" s="35"/>
      <x:c r="R124" s="35"/>
    </x:row>
    <x:row r="125">
      <x:c r="A125" s="34" t="str">
        <x:f>IF(C125="","","SRC-"&amp;TEXT(ROW()-1,"000"))</x:f>
      </x:c>
      <x:c r="B125" s="35"/>
      <x:c r="C125" s="34"/>
      <x:c r="D125" s="34"/>
      <x:c r="E125" s="34"/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 t="str">
        <x:v>Collected</x:v>
      </x:c>
      <x:c r="P125" s="34"/>
      <x:c r="Q125" s="35"/>
      <x:c r="R125" s="35"/>
    </x:row>
    <x:row r="126">
      <x:c r="A126" s="34" t="str">
        <x:f>IF(C126="","","SRC-"&amp;TEXT(ROW()-1,"000"))</x:f>
      </x:c>
      <x:c r="B126" s="35"/>
      <x:c r="C126" s="34"/>
      <x:c r="D126" s="34"/>
      <x:c r="E126" s="34"/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 t="str">
        <x:v>Collected</x:v>
      </x:c>
      <x:c r="P126" s="34"/>
      <x:c r="Q126" s="35"/>
      <x:c r="R126" s="35"/>
    </x:row>
    <x:row r="127">
      <x:c r="A127" s="34" t="str">
        <x:f>IF(C127="","","SRC-"&amp;TEXT(ROW()-1,"000"))</x:f>
      </x:c>
      <x:c r="B127" s="35"/>
      <x:c r="C127" s="34"/>
      <x:c r="D127" s="34"/>
      <x:c r="E127" s="34"/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 t="str">
        <x:v>Collected</x:v>
      </x:c>
      <x:c r="P127" s="34"/>
      <x:c r="Q127" s="35"/>
      <x:c r="R127" s="35"/>
    </x:row>
    <x:row r="128">
      <x:c r="A128" s="34" t="str">
        <x:f>IF(C128="","","SRC-"&amp;TEXT(ROW()-1,"000"))</x:f>
      </x:c>
      <x:c r="B128" s="35"/>
      <x:c r="C128" s="34"/>
      <x:c r="D128" s="34"/>
      <x:c r="E128" s="34"/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 t="str">
        <x:v>Collected</x:v>
      </x:c>
      <x:c r="P128" s="34"/>
      <x:c r="Q128" s="35"/>
      <x:c r="R128" s="35"/>
    </x:row>
    <x:row r="129">
      <x:c r="A129" s="34" t="str">
        <x:f>IF(C129="","","SRC-"&amp;TEXT(ROW()-1,"000"))</x:f>
      </x:c>
      <x:c r="B129" s="35"/>
      <x:c r="C129" s="34"/>
      <x:c r="D129" s="34"/>
      <x:c r="E129" s="34"/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 t="str">
        <x:v>Collected</x:v>
      </x:c>
      <x:c r="P129" s="34"/>
      <x:c r="Q129" s="35"/>
      <x:c r="R129" s="35"/>
    </x:row>
    <x:row r="130">
      <x:c r="A130" s="34" t="str">
        <x:f>IF(C130="","","SRC-"&amp;TEXT(ROW()-1,"000"))</x:f>
      </x:c>
      <x:c r="B130" s="35"/>
      <x:c r="C130" s="34"/>
      <x:c r="D130" s="34"/>
      <x:c r="E130" s="34"/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 t="str">
        <x:v>Collected</x:v>
      </x:c>
      <x:c r="P130" s="34"/>
      <x:c r="Q130" s="35"/>
      <x:c r="R130" s="35"/>
    </x:row>
    <x:row r="131">
      <x:c r="A131" s="34" t="str">
        <x:f>IF(C131="","","SRC-"&amp;TEXT(ROW()-1,"000"))</x:f>
      </x:c>
      <x:c r="B131" s="35"/>
      <x:c r="C131" s="34"/>
      <x:c r="D131" s="34"/>
      <x:c r="E131" s="34"/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 t="str">
        <x:v>Collected</x:v>
      </x:c>
      <x:c r="P131" s="34"/>
      <x:c r="Q131" s="35"/>
      <x:c r="R131" s="35"/>
    </x:row>
    <x:row r="132">
      <x:c r="A132" s="34" t="str">
        <x:f>IF(C132="","","SRC-"&amp;TEXT(ROW()-1,"000"))</x:f>
      </x:c>
      <x:c r="B132" s="35"/>
      <x:c r="C132" s="34"/>
      <x:c r="D132" s="34"/>
      <x:c r="E132" s="34"/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 t="str">
        <x:v>Collected</x:v>
      </x:c>
      <x:c r="P132" s="34"/>
      <x:c r="Q132" s="35"/>
      <x:c r="R132" s="35"/>
    </x:row>
    <x:row r="133">
      <x:c r="A133" s="34" t="str">
        <x:f>IF(C133="","","SRC-"&amp;TEXT(ROW()-1,"000"))</x:f>
      </x:c>
      <x:c r="B133" s="35"/>
      <x:c r="C133" s="34"/>
      <x:c r="D133" s="34"/>
      <x:c r="E133" s="34"/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 t="str">
        <x:v>Collected</x:v>
      </x:c>
      <x:c r="P133" s="34"/>
      <x:c r="Q133" s="35"/>
      <x:c r="R133" s="35"/>
    </x:row>
    <x:row r="134">
      <x:c r="A134" s="34" t="str">
        <x:f>IF(C134="","","SRC-"&amp;TEXT(ROW()-1,"000"))</x:f>
      </x:c>
      <x:c r="B134" s="35"/>
      <x:c r="C134" s="34"/>
      <x:c r="D134" s="34"/>
      <x:c r="E134" s="34"/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 t="str">
        <x:v>Collected</x:v>
      </x:c>
      <x:c r="P134" s="34"/>
      <x:c r="Q134" s="35"/>
      <x:c r="R134" s="35"/>
    </x:row>
    <x:row r="135">
      <x:c r="A135" s="34" t="str">
        <x:f>IF(C135="","","SRC-"&amp;TEXT(ROW()-1,"000"))</x:f>
      </x:c>
      <x:c r="B135" s="35"/>
      <x:c r="C135" s="34"/>
      <x:c r="D135" s="34"/>
      <x:c r="E135" s="34"/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 t="str">
        <x:v>Collected</x:v>
      </x:c>
      <x:c r="P135" s="34"/>
      <x:c r="Q135" s="35"/>
      <x:c r="R135" s="35"/>
    </x:row>
    <x:row r="136">
      <x:c r="A136" s="34" t="str">
        <x:f>IF(C136="","","SRC-"&amp;TEXT(ROW()-1,"000"))</x:f>
      </x:c>
      <x:c r="B136" s="35"/>
      <x:c r="C136" s="34"/>
      <x:c r="D136" s="34"/>
      <x:c r="E136" s="34"/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 t="str">
        <x:v>Collected</x:v>
      </x:c>
      <x:c r="P136" s="34"/>
      <x:c r="Q136" s="35"/>
      <x:c r="R136" s="35"/>
    </x:row>
    <x:row r="137">
      <x:c r="A137" s="34" t="str">
        <x:f>IF(C137="","","SRC-"&amp;TEXT(ROW()-1,"000"))</x:f>
      </x:c>
      <x:c r="B137" s="35"/>
      <x:c r="C137" s="34"/>
      <x:c r="D137" s="34"/>
      <x:c r="E137" s="34"/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 t="str">
        <x:v>Collected</x:v>
      </x:c>
      <x:c r="P137" s="34"/>
      <x:c r="Q137" s="35"/>
      <x:c r="R137" s="35"/>
    </x:row>
    <x:row r="138">
      <x:c r="A138" s="34" t="str">
        <x:f>IF(C138="","","SRC-"&amp;TEXT(ROW()-1,"000"))</x:f>
      </x:c>
      <x:c r="B138" s="35"/>
      <x:c r="C138" s="34"/>
      <x:c r="D138" s="34"/>
      <x:c r="E138" s="34"/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 t="str">
        <x:v>Collected</x:v>
      </x:c>
      <x:c r="P138" s="34"/>
      <x:c r="Q138" s="35"/>
      <x:c r="R138" s="35"/>
    </x:row>
    <x:row r="139">
      <x:c r="A139" s="34" t="str">
        <x:f>IF(C139="","","SRC-"&amp;TEXT(ROW()-1,"000"))</x:f>
      </x:c>
      <x:c r="B139" s="35"/>
      <x:c r="C139" s="34"/>
      <x:c r="D139" s="34"/>
      <x:c r="E139" s="34"/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 t="str">
        <x:v>Collected</x:v>
      </x:c>
      <x:c r="P139" s="34"/>
      <x:c r="Q139" s="35"/>
      <x:c r="R139" s="35"/>
    </x:row>
    <x:row r="140">
      <x:c r="A140" s="34" t="str">
        <x:f>IF(C140="","","SRC-"&amp;TEXT(ROW()-1,"000"))</x:f>
      </x:c>
      <x:c r="B140" s="35"/>
      <x:c r="C140" s="34"/>
      <x:c r="D140" s="34"/>
      <x:c r="E140" s="34"/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 t="str">
        <x:v>Collected</x:v>
      </x:c>
      <x:c r="P140" s="34"/>
      <x:c r="Q140" s="35"/>
      <x:c r="R140" s="35"/>
    </x:row>
    <x:row r="141">
      <x:c r="A141" s="34" t="str">
        <x:f>IF(C141="","","SRC-"&amp;TEXT(ROW()-1,"000"))</x:f>
      </x:c>
      <x:c r="B141" s="35"/>
      <x:c r="C141" s="34"/>
      <x:c r="D141" s="34"/>
      <x:c r="E141" s="34"/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 t="str">
        <x:v>Collected</x:v>
      </x:c>
      <x:c r="P141" s="34"/>
      <x:c r="Q141" s="35"/>
      <x:c r="R141" s="35"/>
    </x:row>
    <x:row r="142">
      <x:c r="A142" s="34" t="str">
        <x:f>IF(C142="","","SRC-"&amp;TEXT(ROW()-1,"000"))</x:f>
      </x:c>
      <x:c r="B142" s="35"/>
      <x:c r="C142" s="34"/>
      <x:c r="D142" s="34"/>
      <x:c r="E142" s="34"/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 t="str">
        <x:v>Collected</x:v>
      </x:c>
      <x:c r="P142" s="34"/>
      <x:c r="Q142" s="35"/>
      <x:c r="R142" s="35"/>
    </x:row>
    <x:row r="143">
      <x:c r="A143" s="34" t="str">
        <x:f>IF(C143="","","SRC-"&amp;TEXT(ROW()-1,"000"))</x:f>
      </x:c>
      <x:c r="B143" s="35"/>
      <x:c r="C143" s="34"/>
      <x:c r="D143" s="34"/>
      <x:c r="E143" s="34"/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 t="str">
        <x:v>Collected</x:v>
      </x:c>
      <x:c r="P143" s="34"/>
      <x:c r="Q143" s="35"/>
      <x:c r="R143" s="35"/>
    </x:row>
    <x:row r="144">
      <x:c r="A144" s="34" t="str">
        <x:f>IF(C144="","","SRC-"&amp;TEXT(ROW()-1,"000"))</x:f>
      </x:c>
      <x:c r="B144" s="35"/>
      <x:c r="C144" s="34"/>
      <x:c r="D144" s="34"/>
      <x:c r="E144" s="34"/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 t="str">
        <x:v>Collected</x:v>
      </x:c>
      <x:c r="P144" s="34"/>
      <x:c r="Q144" s="35"/>
      <x:c r="R144" s="35"/>
    </x:row>
    <x:row r="145">
      <x:c r="A145" s="34" t="str">
        <x:f>IF(C145="","","SRC-"&amp;TEXT(ROW()-1,"000"))</x:f>
      </x:c>
      <x:c r="B145" s="35"/>
      <x:c r="C145" s="34"/>
      <x:c r="D145" s="34"/>
      <x:c r="E145" s="34"/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 t="str">
        <x:v>Collected</x:v>
      </x:c>
      <x:c r="P145" s="34"/>
      <x:c r="Q145" s="35"/>
      <x:c r="R145" s="35"/>
    </x:row>
    <x:row r="146">
      <x:c r="A146" s="34" t="str">
        <x:f>IF(C146="","","SRC-"&amp;TEXT(ROW()-1,"000"))</x:f>
      </x:c>
      <x:c r="B146" s="35"/>
      <x:c r="C146" s="34"/>
      <x:c r="D146" s="34"/>
      <x:c r="E146" s="34"/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 t="str">
        <x:v>Collected</x:v>
      </x:c>
      <x:c r="P146" s="34"/>
      <x:c r="Q146" s="35"/>
      <x:c r="R146" s="35"/>
    </x:row>
    <x:row r="147">
      <x:c r="A147" s="34" t="str">
        <x:f>IF(C147="","","SRC-"&amp;TEXT(ROW()-1,"000"))</x:f>
      </x:c>
      <x:c r="B147" s="35"/>
      <x:c r="C147" s="34"/>
      <x:c r="D147" s="34"/>
      <x:c r="E147" s="34"/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 t="str">
        <x:v>Collected</x:v>
      </x:c>
      <x:c r="P147" s="34"/>
      <x:c r="Q147" s="35"/>
      <x:c r="R147" s="35"/>
    </x:row>
    <x:row r="148">
      <x:c r="A148" s="34" t="str">
        <x:f>IF(C148="","","SRC-"&amp;TEXT(ROW()-1,"000"))</x:f>
      </x:c>
      <x:c r="B148" s="35"/>
      <x:c r="C148" s="34"/>
      <x:c r="D148" s="34"/>
      <x:c r="E148" s="34"/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 t="str">
        <x:v>Collected</x:v>
      </x:c>
      <x:c r="P148" s="34"/>
      <x:c r="Q148" s="35"/>
      <x:c r="R148" s="35"/>
    </x:row>
    <x:row r="149">
      <x:c r="A149" s="34" t="str">
        <x:f>IF(C149="","","SRC-"&amp;TEXT(ROW()-1,"000"))</x:f>
      </x:c>
      <x:c r="B149" s="35"/>
      <x:c r="C149" s="34"/>
      <x:c r="D149" s="34"/>
      <x:c r="E149" s="34"/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 t="str">
        <x:v>Collected</x:v>
      </x:c>
      <x:c r="P149" s="34"/>
      <x:c r="Q149" s="35"/>
      <x:c r="R149" s="35"/>
    </x:row>
    <x:row r="150">
      <x:c r="A150" s="34" t="str">
        <x:f>IF(C150="","","SRC-"&amp;TEXT(ROW()-1,"000"))</x:f>
      </x:c>
      <x:c r="B150" s="35"/>
      <x:c r="C150" s="34"/>
      <x:c r="D150" s="34"/>
      <x:c r="E150" s="34"/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 t="str">
        <x:v>Collected</x:v>
      </x:c>
      <x:c r="P150" s="34"/>
      <x:c r="Q150" s="35"/>
      <x:c r="R150" s="35"/>
    </x:row>
    <x:row r="151">
      <x:c r="A151" s="34" t="str">
        <x:f>IF(C151="","","SRC-"&amp;TEXT(ROW()-1,"000"))</x:f>
      </x:c>
      <x:c r="B151" s="35"/>
      <x:c r="C151" s="34"/>
      <x:c r="D151" s="34"/>
      <x:c r="E151" s="34"/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 t="str">
        <x:v>Collected</x:v>
      </x:c>
      <x:c r="P151" s="34"/>
      <x:c r="Q151" s="35"/>
      <x:c r="R151" s="35"/>
    </x:row>
    <x:row r="152">
      <x:c r="A152" s="34" t="str">
        <x:f>IF(C152="","","SRC-"&amp;TEXT(ROW()-1,"000"))</x:f>
      </x:c>
      <x:c r="B152" s="35"/>
      <x:c r="C152" s="34"/>
      <x:c r="D152" s="34"/>
      <x:c r="E152" s="34"/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 t="str">
        <x:v>Collected</x:v>
      </x:c>
      <x:c r="P152" s="34"/>
      <x:c r="Q152" s="35"/>
      <x:c r="R152" s="35"/>
    </x:row>
    <x:row r="153">
      <x:c r="A153" s="34" t="str">
        <x:f>IF(C153="","","SRC-"&amp;TEXT(ROW()-1,"000"))</x:f>
      </x:c>
      <x:c r="B153" s="35"/>
      <x:c r="C153" s="34"/>
      <x:c r="D153" s="34"/>
      <x:c r="E153" s="34"/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 t="str">
        <x:v>Collected</x:v>
      </x:c>
      <x:c r="P153" s="34"/>
      <x:c r="Q153" s="35"/>
      <x:c r="R153" s="35"/>
    </x:row>
    <x:row r="154">
      <x:c r="A154" s="34" t="str">
        <x:f>IF(C154="","","SRC-"&amp;TEXT(ROW()-1,"000"))</x:f>
      </x:c>
      <x:c r="B154" s="35"/>
      <x:c r="C154" s="34"/>
      <x:c r="D154" s="34"/>
      <x:c r="E154" s="34"/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 t="str">
        <x:v>Collected</x:v>
      </x:c>
      <x:c r="P154" s="34"/>
      <x:c r="Q154" s="35"/>
      <x:c r="R154" s="35"/>
    </x:row>
    <x:row r="155">
      <x:c r="A155" s="34" t="str">
        <x:f>IF(C155="","","SRC-"&amp;TEXT(ROW()-1,"000"))</x:f>
      </x:c>
      <x:c r="B155" s="35"/>
      <x:c r="C155" s="34"/>
      <x:c r="D155" s="34"/>
      <x:c r="E155" s="34"/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 t="str">
        <x:v>Collected</x:v>
      </x:c>
      <x:c r="P155" s="34"/>
      <x:c r="Q155" s="35"/>
      <x:c r="R155" s="35"/>
    </x:row>
    <x:row r="156">
      <x:c r="A156" s="34" t="str">
        <x:f>IF(C156="","","SRC-"&amp;TEXT(ROW()-1,"000"))</x:f>
      </x:c>
      <x:c r="B156" s="35"/>
      <x:c r="C156" s="34"/>
      <x:c r="D156" s="34"/>
      <x:c r="E156" s="34"/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 t="str">
        <x:v>Collected</x:v>
      </x:c>
      <x:c r="P156" s="34"/>
      <x:c r="Q156" s="35"/>
      <x:c r="R156" s="35"/>
    </x:row>
    <x:row r="157">
      <x:c r="A157" s="34" t="str">
        <x:f>IF(C157="","","SRC-"&amp;TEXT(ROW()-1,"000"))</x:f>
      </x:c>
      <x:c r="B157" s="35"/>
      <x:c r="C157" s="34"/>
      <x:c r="D157" s="34"/>
      <x:c r="E157" s="34"/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 t="str">
        <x:v>Collected</x:v>
      </x:c>
      <x:c r="P157" s="34"/>
      <x:c r="Q157" s="35"/>
      <x:c r="R157" s="35"/>
    </x:row>
    <x:row r="158">
      <x:c r="A158" s="34" t="str">
        <x:f>IF(C158="","","SRC-"&amp;TEXT(ROW()-1,"000"))</x:f>
      </x:c>
      <x:c r="B158" s="35"/>
      <x:c r="C158" s="34"/>
      <x:c r="D158" s="34"/>
      <x:c r="E158" s="34"/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 t="str">
        <x:v>Collected</x:v>
      </x:c>
      <x:c r="P158" s="34"/>
      <x:c r="Q158" s="35"/>
      <x:c r="R158" s="35"/>
    </x:row>
    <x:row r="159">
      <x:c r="A159" s="34" t="str">
        <x:f>IF(C159="","","SRC-"&amp;TEXT(ROW()-1,"000"))</x:f>
      </x:c>
      <x:c r="B159" s="35"/>
      <x:c r="C159" s="34"/>
      <x:c r="D159" s="34"/>
      <x:c r="E159" s="34"/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 t="str">
        <x:v>Collected</x:v>
      </x:c>
      <x:c r="P159" s="34"/>
      <x:c r="Q159" s="35"/>
      <x:c r="R159" s="35"/>
    </x:row>
    <x:row r="160">
      <x:c r="A160" s="34" t="str">
        <x:f>IF(C160="","","SRC-"&amp;TEXT(ROW()-1,"000"))</x:f>
      </x:c>
      <x:c r="B160" s="35"/>
      <x:c r="C160" s="34"/>
      <x:c r="D160" s="34"/>
      <x:c r="E160" s="34"/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 t="str">
        <x:v>Collected</x:v>
      </x:c>
      <x:c r="P160" s="34"/>
      <x:c r="Q160" s="35"/>
      <x:c r="R160" s="35"/>
    </x:row>
    <x:row r="161">
      <x:c r="A161" s="34" t="str">
        <x:f>IF(C161="","","SRC-"&amp;TEXT(ROW()-1,"000"))</x:f>
      </x:c>
      <x:c r="B161" s="35"/>
      <x:c r="C161" s="34"/>
      <x:c r="D161" s="34"/>
      <x:c r="E161" s="34"/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 t="str">
        <x:v>Collected</x:v>
      </x:c>
      <x:c r="P161" s="34"/>
      <x:c r="Q161" s="35"/>
      <x:c r="R161" s="35"/>
    </x:row>
    <x:row r="162">
      <x:c r="A162" s="34" t="str">
        <x:f>IF(C162="","","SRC-"&amp;TEXT(ROW()-1,"000"))</x:f>
      </x:c>
      <x:c r="B162" s="35"/>
      <x:c r="C162" s="34"/>
      <x:c r="D162" s="34"/>
      <x:c r="E162" s="34"/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 t="str">
        <x:v>Collected</x:v>
      </x:c>
      <x:c r="P162" s="34"/>
      <x:c r="Q162" s="35"/>
      <x:c r="R162" s="35"/>
    </x:row>
    <x:row r="163">
      <x:c r="A163" s="34" t="str">
        <x:f>IF(C163="","","SRC-"&amp;TEXT(ROW()-1,"000"))</x:f>
      </x:c>
      <x:c r="B163" s="35"/>
      <x:c r="C163" s="34"/>
      <x:c r="D163" s="34"/>
      <x:c r="E163" s="34"/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 t="str">
        <x:v>Collected</x:v>
      </x:c>
      <x:c r="P163" s="34"/>
      <x:c r="Q163" s="35"/>
      <x:c r="R163" s="35"/>
    </x:row>
    <x:row r="164">
      <x:c r="A164" s="34" t="str">
        <x:f>IF(C164="","","SRC-"&amp;TEXT(ROW()-1,"000"))</x:f>
      </x:c>
      <x:c r="B164" s="35"/>
      <x:c r="C164" s="34"/>
      <x:c r="D164" s="34"/>
      <x:c r="E164" s="34"/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 t="str">
        <x:v>Collected</x:v>
      </x:c>
      <x:c r="P164" s="34"/>
      <x:c r="Q164" s="35"/>
      <x:c r="R164" s="35"/>
    </x:row>
    <x:row r="165">
      <x:c r="A165" s="34" t="str">
        <x:f>IF(C165="","","SRC-"&amp;TEXT(ROW()-1,"000"))</x:f>
      </x:c>
      <x:c r="B165" s="35"/>
      <x:c r="C165" s="34"/>
      <x:c r="D165" s="34"/>
      <x:c r="E165" s="34"/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 t="str">
        <x:v>Collected</x:v>
      </x:c>
      <x:c r="P165" s="34"/>
      <x:c r="Q165" s="35"/>
      <x:c r="R165" s="35"/>
    </x:row>
    <x:row r="166">
      <x:c r="A166" s="34" t="str">
        <x:f>IF(C166="","","SRC-"&amp;TEXT(ROW()-1,"000"))</x:f>
      </x:c>
      <x:c r="B166" s="35"/>
      <x:c r="C166" s="34"/>
      <x:c r="D166" s="34"/>
      <x:c r="E166" s="34"/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 t="str">
        <x:v>Collected</x:v>
      </x:c>
      <x:c r="P166" s="34"/>
      <x:c r="Q166" s="35"/>
      <x:c r="R166" s="35"/>
    </x:row>
    <x:row r="167">
      <x:c r="A167" s="34" t="str">
        <x:f>IF(C167="","","SRC-"&amp;TEXT(ROW()-1,"000"))</x:f>
      </x:c>
      <x:c r="B167" s="35"/>
      <x:c r="C167" s="34"/>
      <x:c r="D167" s="34"/>
      <x:c r="E167" s="34"/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 t="str">
        <x:v>Collected</x:v>
      </x:c>
      <x:c r="P167" s="34"/>
      <x:c r="Q167" s="35"/>
      <x:c r="R167" s="35"/>
    </x:row>
    <x:row r="168">
      <x:c r="A168" s="34" t="str">
        <x:f>IF(C168="","","SRC-"&amp;TEXT(ROW()-1,"000"))</x:f>
      </x:c>
      <x:c r="B168" s="35"/>
      <x:c r="C168" s="34"/>
      <x:c r="D168" s="34"/>
      <x:c r="E168" s="34"/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 t="str">
        <x:v>Collected</x:v>
      </x:c>
      <x:c r="P168" s="34"/>
      <x:c r="Q168" s="35"/>
      <x:c r="R168" s="35"/>
    </x:row>
    <x:row r="169">
      <x:c r="A169" s="34" t="str">
        <x:f>IF(C169="","","SRC-"&amp;TEXT(ROW()-1,"000"))</x:f>
      </x:c>
      <x:c r="B169" s="35"/>
      <x:c r="C169" s="34"/>
      <x:c r="D169" s="34"/>
      <x:c r="E169" s="34"/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 t="str">
        <x:v>Collected</x:v>
      </x:c>
      <x:c r="P169" s="34"/>
      <x:c r="Q169" s="35"/>
      <x:c r="R169" s="35"/>
    </x:row>
    <x:row r="170">
      <x:c r="A170" s="34" t="str">
        <x:f>IF(C170="","","SRC-"&amp;TEXT(ROW()-1,"000"))</x:f>
      </x:c>
      <x:c r="B170" s="35"/>
      <x:c r="C170" s="34"/>
      <x:c r="D170" s="34"/>
      <x:c r="E170" s="34"/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 t="str">
        <x:v>Collected</x:v>
      </x:c>
      <x:c r="P170" s="34"/>
      <x:c r="Q170" s="35"/>
      <x:c r="R170" s="35"/>
    </x:row>
    <x:row r="171">
      <x:c r="A171" s="34" t="str">
        <x:f>IF(C171="","","SRC-"&amp;TEXT(ROW()-1,"000"))</x:f>
      </x:c>
      <x:c r="B171" s="35"/>
      <x:c r="C171" s="34"/>
      <x:c r="D171" s="34"/>
      <x:c r="E171" s="34"/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 t="str">
        <x:v>Collected</x:v>
      </x:c>
      <x:c r="P171" s="34"/>
      <x:c r="Q171" s="35"/>
      <x:c r="R171" s="35"/>
    </x:row>
    <x:row r="172">
      <x:c r="A172" s="34" t="str">
        <x:f>IF(C172="","","SRC-"&amp;TEXT(ROW()-1,"000"))</x:f>
      </x:c>
      <x:c r="B172" s="35"/>
      <x:c r="C172" s="34"/>
      <x:c r="D172" s="34"/>
      <x:c r="E172" s="34"/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 t="str">
        <x:v>Collected</x:v>
      </x:c>
      <x:c r="P172" s="34"/>
      <x:c r="Q172" s="35"/>
      <x:c r="R172" s="35"/>
    </x:row>
    <x:row r="173">
      <x:c r="A173" s="34" t="str">
        <x:f>IF(C173="","","SRC-"&amp;TEXT(ROW()-1,"000"))</x:f>
      </x:c>
      <x:c r="B173" s="35"/>
      <x:c r="C173" s="34"/>
      <x:c r="D173" s="34"/>
      <x:c r="E173" s="34"/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 t="str">
        <x:v>Collected</x:v>
      </x:c>
      <x:c r="P173" s="34"/>
      <x:c r="Q173" s="35"/>
      <x:c r="R173" s="35"/>
    </x:row>
    <x:row r="174">
      <x:c r="A174" s="34" t="str">
        <x:f>IF(C174="","","SRC-"&amp;TEXT(ROW()-1,"000"))</x:f>
      </x:c>
      <x:c r="B174" s="35"/>
      <x:c r="C174" s="34"/>
      <x:c r="D174" s="34"/>
      <x:c r="E174" s="34"/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 t="str">
        <x:v>Collected</x:v>
      </x:c>
      <x:c r="P174" s="34"/>
      <x:c r="Q174" s="35"/>
      <x:c r="R174" s="35"/>
    </x:row>
    <x:row r="175">
      <x:c r="A175" s="34" t="str">
        <x:f>IF(C175="","","SRC-"&amp;TEXT(ROW()-1,"000"))</x:f>
      </x:c>
      <x:c r="B175" s="35"/>
      <x:c r="C175" s="34"/>
      <x:c r="D175" s="34"/>
      <x:c r="E175" s="34"/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 t="str">
        <x:v>Collected</x:v>
      </x:c>
      <x:c r="P175" s="34"/>
      <x:c r="Q175" s="35"/>
      <x:c r="R175" s="35"/>
    </x:row>
    <x:row r="176">
      <x:c r="A176" s="34" t="str">
        <x:f>IF(C176="","","SRC-"&amp;TEXT(ROW()-1,"000"))</x:f>
      </x:c>
      <x:c r="B176" s="35"/>
      <x:c r="C176" s="34"/>
      <x:c r="D176" s="34"/>
      <x:c r="E176" s="34"/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 t="str">
        <x:v>Collected</x:v>
      </x:c>
      <x:c r="P176" s="34"/>
      <x:c r="Q176" s="35"/>
      <x:c r="R176" s="35"/>
    </x:row>
    <x:row r="177">
      <x:c r="A177" s="34" t="str">
        <x:f>IF(C177="","","SRC-"&amp;TEXT(ROW()-1,"000"))</x:f>
      </x:c>
      <x:c r="B177" s="35"/>
      <x:c r="C177" s="34"/>
      <x:c r="D177" s="34"/>
      <x:c r="E177" s="34"/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 t="str">
        <x:v>Collected</x:v>
      </x:c>
      <x:c r="P177" s="34"/>
      <x:c r="Q177" s="35"/>
      <x:c r="R177" s="35"/>
    </x:row>
    <x:row r="178">
      <x:c r="A178" s="34" t="str">
        <x:f>IF(C178="","","SRC-"&amp;TEXT(ROW()-1,"000"))</x:f>
      </x:c>
      <x:c r="B178" s="35"/>
      <x:c r="C178" s="34"/>
      <x:c r="D178" s="34"/>
      <x:c r="E178" s="34"/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 t="str">
        <x:v>Collected</x:v>
      </x:c>
      <x:c r="P178" s="34"/>
      <x:c r="Q178" s="35"/>
      <x:c r="R178" s="35"/>
    </x:row>
    <x:row r="179">
      <x:c r="A179" s="34" t="str">
        <x:f>IF(C179="","","SRC-"&amp;TEXT(ROW()-1,"000"))</x:f>
      </x:c>
      <x:c r="B179" s="35"/>
      <x:c r="C179" s="34"/>
      <x:c r="D179" s="34"/>
      <x:c r="E179" s="34"/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 t="str">
        <x:v>Collected</x:v>
      </x:c>
      <x:c r="P179" s="34"/>
      <x:c r="Q179" s="35"/>
      <x:c r="R179" s="35"/>
    </x:row>
    <x:row r="180">
      <x:c r="A180" s="34" t="str">
        <x:f>IF(C180="","","SRC-"&amp;TEXT(ROW()-1,"000"))</x:f>
      </x:c>
      <x:c r="B180" s="35"/>
      <x:c r="C180" s="34"/>
      <x:c r="D180" s="34"/>
      <x:c r="E180" s="34"/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 t="str">
        <x:v>Collected</x:v>
      </x:c>
      <x:c r="P180" s="34"/>
      <x:c r="Q180" s="35"/>
      <x:c r="R180" s="35"/>
    </x:row>
    <x:row r="181">
      <x:c r="A181" s="34" t="str">
        <x:f>IF(C181="","","SRC-"&amp;TEXT(ROW()-1,"000"))</x:f>
      </x:c>
      <x:c r="B181" s="35"/>
      <x:c r="C181" s="34"/>
      <x:c r="D181" s="34"/>
      <x:c r="E181" s="34"/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 t="str">
        <x:v>Collected</x:v>
      </x:c>
      <x:c r="P181" s="34"/>
      <x:c r="Q181" s="35"/>
      <x:c r="R181" s="35"/>
    </x:row>
    <x:row r="182">
      <x:c r="A182" s="34" t="str">
        <x:f>IF(C182="","","SRC-"&amp;TEXT(ROW()-1,"000"))</x:f>
      </x:c>
      <x:c r="B182" s="35"/>
      <x:c r="C182" s="34"/>
      <x:c r="D182" s="34"/>
      <x:c r="E182" s="34"/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 t="str">
        <x:v>Collected</x:v>
      </x:c>
      <x:c r="P182" s="34"/>
      <x:c r="Q182" s="35"/>
      <x:c r="R182" s="35"/>
    </x:row>
    <x:row r="183">
      <x:c r="A183" s="34" t="str">
        <x:f>IF(C183="","","SRC-"&amp;TEXT(ROW()-1,"000"))</x:f>
      </x:c>
      <x:c r="B183" s="35"/>
      <x:c r="C183" s="34"/>
      <x:c r="D183" s="34"/>
      <x:c r="E183" s="34"/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 t="str">
        <x:v>Collected</x:v>
      </x:c>
      <x:c r="P183" s="34"/>
      <x:c r="Q183" s="35"/>
      <x:c r="R183" s="35"/>
    </x:row>
    <x:row r="184">
      <x:c r="A184" s="34" t="str">
        <x:f>IF(C184="","","SRC-"&amp;TEXT(ROW()-1,"000"))</x:f>
      </x:c>
      <x:c r="B184" s="35"/>
      <x:c r="C184" s="34"/>
      <x:c r="D184" s="34"/>
      <x:c r="E184" s="34"/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 t="str">
        <x:v>Collected</x:v>
      </x:c>
      <x:c r="P184" s="34"/>
      <x:c r="Q184" s="35"/>
      <x:c r="R184" s="35"/>
    </x:row>
    <x:row r="185">
      <x:c r="A185" s="34" t="str">
        <x:f>IF(C185="","","SRC-"&amp;TEXT(ROW()-1,"000"))</x:f>
      </x:c>
      <x:c r="B185" s="35"/>
      <x:c r="C185" s="34"/>
      <x:c r="D185" s="34"/>
      <x:c r="E185" s="34"/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 t="str">
        <x:v>Collected</x:v>
      </x:c>
      <x:c r="P185" s="34"/>
      <x:c r="Q185" s="35"/>
      <x:c r="R185" s="35"/>
    </x:row>
    <x:row r="186">
      <x:c r="A186" s="34" t="str">
        <x:f>IF(C186="","","SRC-"&amp;TEXT(ROW()-1,"000"))</x:f>
      </x:c>
      <x:c r="B186" s="35"/>
      <x:c r="C186" s="34"/>
      <x:c r="D186" s="34"/>
      <x:c r="E186" s="34"/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 t="str">
        <x:v>Collected</x:v>
      </x:c>
      <x:c r="P186" s="34"/>
      <x:c r="Q186" s="35"/>
      <x:c r="R186" s="35"/>
    </x:row>
    <x:row r="187">
      <x:c r="A187" s="34" t="str">
        <x:f>IF(C187="","","SRC-"&amp;TEXT(ROW()-1,"000"))</x:f>
      </x:c>
      <x:c r="B187" s="35"/>
      <x:c r="C187" s="34"/>
      <x:c r="D187" s="34"/>
      <x:c r="E187" s="34"/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 t="str">
        <x:v>Collected</x:v>
      </x:c>
      <x:c r="P187" s="34"/>
      <x:c r="Q187" s="35"/>
      <x:c r="R187" s="35"/>
    </x:row>
    <x:row r="188">
      <x:c r="A188" s="34" t="str">
        <x:f>IF(C188="","","SRC-"&amp;TEXT(ROW()-1,"000"))</x:f>
      </x:c>
      <x:c r="B188" s="35"/>
      <x:c r="C188" s="34"/>
      <x:c r="D188" s="34"/>
      <x:c r="E188" s="34"/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 t="str">
        <x:v>Collected</x:v>
      </x:c>
      <x:c r="P188" s="34"/>
      <x:c r="Q188" s="35"/>
      <x:c r="R188" s="35"/>
    </x:row>
    <x:row r="189">
      <x:c r="A189" s="34" t="str">
        <x:f>IF(C189="","","SRC-"&amp;TEXT(ROW()-1,"000"))</x:f>
      </x:c>
      <x:c r="B189" s="35"/>
      <x:c r="C189" s="34"/>
      <x:c r="D189" s="34"/>
      <x:c r="E189" s="34"/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 t="str">
        <x:v>Collected</x:v>
      </x:c>
      <x:c r="P189" s="34"/>
      <x:c r="Q189" s="35"/>
      <x:c r="R189" s="35"/>
    </x:row>
    <x:row r="190">
      <x:c r="A190" s="34" t="str">
        <x:f>IF(C190="","","SRC-"&amp;TEXT(ROW()-1,"000"))</x:f>
      </x:c>
      <x:c r="B190" s="35"/>
      <x:c r="C190" s="34"/>
      <x:c r="D190" s="34"/>
      <x:c r="E190" s="34"/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 t="str">
        <x:v>Collected</x:v>
      </x:c>
      <x:c r="P190" s="34"/>
      <x:c r="Q190" s="35"/>
      <x:c r="R190" s="35"/>
    </x:row>
    <x:row r="191">
      <x:c r="A191" s="34" t="str">
        <x:f>IF(C191="","","SRC-"&amp;TEXT(ROW()-1,"000"))</x:f>
      </x:c>
      <x:c r="B191" s="35"/>
      <x:c r="C191" s="34"/>
      <x:c r="D191" s="34"/>
      <x:c r="E191" s="34"/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 t="str">
        <x:v>Collected</x:v>
      </x:c>
      <x:c r="P191" s="34"/>
      <x:c r="Q191" s="35"/>
      <x:c r="R191" s="35"/>
    </x:row>
    <x:row r="192">
      <x:c r="A192" s="34" t="str">
        <x:f>IF(C192="","","SRC-"&amp;TEXT(ROW()-1,"000"))</x:f>
      </x:c>
      <x:c r="B192" s="35"/>
      <x:c r="C192" s="34"/>
      <x:c r="D192" s="34"/>
      <x:c r="E192" s="34"/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 t="str">
        <x:v>Collected</x:v>
      </x:c>
      <x:c r="P192" s="34"/>
      <x:c r="Q192" s="35"/>
      <x:c r="R192" s="35"/>
    </x:row>
    <x:row r="193">
      <x:c r="A193" s="34" t="str">
        <x:f>IF(C193="","","SRC-"&amp;TEXT(ROW()-1,"000"))</x:f>
      </x:c>
      <x:c r="B193" s="35"/>
      <x:c r="C193" s="34"/>
      <x:c r="D193" s="34"/>
      <x:c r="E193" s="34"/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 t="str">
        <x:v>Collected</x:v>
      </x:c>
      <x:c r="P193" s="34"/>
      <x:c r="Q193" s="35"/>
      <x:c r="R193" s="35"/>
    </x:row>
    <x:row r="194">
      <x:c r="A194" s="34" t="str">
        <x:f>IF(C194="","","SRC-"&amp;TEXT(ROW()-1,"000"))</x:f>
      </x:c>
      <x:c r="B194" s="35"/>
      <x:c r="C194" s="34"/>
      <x:c r="D194" s="34"/>
      <x:c r="E194" s="34"/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 t="str">
        <x:v>Collected</x:v>
      </x:c>
      <x:c r="P194" s="34"/>
      <x:c r="Q194" s="35"/>
      <x:c r="R194" s="35"/>
    </x:row>
    <x:row r="195">
      <x:c r="A195" s="34" t="str">
        <x:f>IF(C195="","","SRC-"&amp;TEXT(ROW()-1,"000"))</x:f>
      </x:c>
      <x:c r="B195" s="35"/>
      <x:c r="C195" s="34"/>
      <x:c r="D195" s="34"/>
      <x:c r="E195" s="34"/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 t="str">
        <x:v>Collected</x:v>
      </x:c>
      <x:c r="P195" s="34"/>
      <x:c r="Q195" s="35"/>
      <x:c r="R195" s="35"/>
    </x:row>
    <x:row r="196">
      <x:c r="A196" s="34" t="str">
        <x:f>IF(C196="","","SRC-"&amp;TEXT(ROW()-1,"000"))</x:f>
      </x:c>
      <x:c r="B196" s="35"/>
      <x:c r="C196" s="34"/>
      <x:c r="D196" s="34"/>
      <x:c r="E196" s="34"/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 t="str">
        <x:v>Collected</x:v>
      </x:c>
      <x:c r="P196" s="34"/>
      <x:c r="Q196" s="35"/>
      <x:c r="R196" s="35"/>
    </x:row>
    <x:row r="197">
      <x:c r="A197" s="34" t="str">
        <x:f>IF(C197="","","SRC-"&amp;TEXT(ROW()-1,"000"))</x:f>
      </x:c>
      <x:c r="B197" s="35"/>
      <x:c r="C197" s="34"/>
      <x:c r="D197" s="34"/>
      <x:c r="E197" s="34"/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 t="str">
        <x:v>Collected</x:v>
      </x:c>
      <x:c r="P197" s="34"/>
      <x:c r="Q197" s="35"/>
      <x:c r="R197" s="35"/>
    </x:row>
    <x:row r="198">
      <x:c r="A198" s="34" t="str">
        <x:f>IF(C198="","","SRC-"&amp;TEXT(ROW()-1,"000"))</x:f>
      </x:c>
      <x:c r="B198" s="35"/>
      <x:c r="C198" s="34"/>
      <x:c r="D198" s="34"/>
      <x:c r="E198" s="34"/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 t="str">
        <x:v>Collected</x:v>
      </x:c>
      <x:c r="P198" s="34"/>
      <x:c r="Q198" s="35"/>
      <x:c r="R198" s="35"/>
    </x:row>
    <x:row r="199">
      <x:c r="A199" s="34" t="str">
        <x:f>IF(C199="","","SRC-"&amp;TEXT(ROW()-1,"000"))</x:f>
      </x:c>
      <x:c r="B199" s="35"/>
      <x:c r="C199" s="34"/>
      <x:c r="D199" s="34"/>
      <x:c r="E199" s="34"/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 t="str">
        <x:v>Collected</x:v>
      </x:c>
      <x:c r="P199" s="34"/>
      <x:c r="Q199" s="35"/>
      <x:c r="R199" s="35"/>
    </x:row>
    <x:row r="200">
      <x:c r="A200" s="34" t="str">
        <x:f>IF(C200="","","SRC-"&amp;TEXT(ROW()-1,"000"))</x:f>
      </x:c>
      <x:c r="B200" s="35"/>
      <x:c r="C200" s="34"/>
      <x:c r="D200" s="34"/>
      <x:c r="E200" s="34"/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 t="str">
        <x:v>Collected</x:v>
      </x:c>
      <x:c r="P200" s="34"/>
      <x:c r="Q200" s="35"/>
      <x:c r="R200" s="35"/>
    </x:row>
    <x:row r="201">
      <x:c r="A201" s="34" t="str">
        <x:f>IF(C201="","","SRC-"&amp;TEXT(ROW()-1,"000"))</x:f>
      </x:c>
      <x:c r="B201" s="35"/>
      <x:c r="C201" s="34"/>
      <x:c r="D201" s="34"/>
      <x:c r="E201" s="34"/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 t="str">
        <x:v>Collected</x:v>
      </x:c>
      <x:c r="P201" s="34"/>
      <x:c r="Q201" s="35"/>
      <x:c r="R201" s="35"/>
    </x:row>
    <x:row r="202">
      <x:c r="A202" s="34" t="str">
        <x:f>IF(C202="","","SRC-"&amp;TEXT(ROW()-1,"000"))</x:f>
      </x:c>
      <x:c r="B202" s="35"/>
      <x:c r="C202" s="34"/>
      <x:c r="D202" s="34"/>
      <x:c r="E202" s="34"/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 t="str">
        <x:v>Collected</x:v>
      </x:c>
      <x:c r="P202" s="34"/>
      <x:c r="Q202" s="35"/>
      <x:c r="R202" s="35"/>
    </x:row>
    <x:row r="203">
      <x:c r="A203" s="34" t="str">
        <x:f>IF(C203="","","SRC-"&amp;TEXT(ROW()-1,"000"))</x:f>
      </x:c>
      <x:c r="B203" s="35"/>
      <x:c r="C203" s="34"/>
      <x:c r="D203" s="34"/>
      <x:c r="E203" s="34"/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 t="str">
        <x:v>Collected</x:v>
      </x:c>
      <x:c r="P203" s="34"/>
      <x:c r="Q203" s="35"/>
      <x:c r="R203" s="35"/>
    </x:row>
    <x:row r="204">
      <x:c r="A204" s="34" t="str">
        <x:f>IF(C204="","","SRC-"&amp;TEXT(ROW()-1,"000"))</x:f>
      </x:c>
      <x:c r="B204" s="35"/>
      <x:c r="C204" s="34"/>
      <x:c r="D204" s="34"/>
      <x:c r="E204" s="34"/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 t="str">
        <x:v>Collected</x:v>
      </x:c>
      <x:c r="P204" s="34"/>
      <x:c r="Q204" s="35"/>
      <x:c r="R204" s="35"/>
    </x:row>
    <x:row r="205">
      <x:c r="A205" s="34" t="str">
        <x:f>IF(C205="","","SRC-"&amp;TEXT(ROW()-1,"000"))</x:f>
      </x:c>
      <x:c r="B205" s="35"/>
      <x:c r="C205" s="34"/>
      <x:c r="D205" s="34"/>
      <x:c r="E205" s="34"/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 t="str">
        <x:v>Collected</x:v>
      </x:c>
      <x:c r="P205" s="34"/>
      <x:c r="Q205" s="35"/>
      <x:c r="R205" s="35"/>
    </x:row>
    <x:row r="206">
      <x:c r="A206" s="34" t="str">
        <x:f>IF(C206="","","SRC-"&amp;TEXT(ROW()-1,"000"))</x:f>
      </x:c>
      <x:c r="B206" s="35"/>
      <x:c r="C206" s="34"/>
      <x:c r="D206" s="34"/>
      <x:c r="E206" s="34"/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 t="str">
        <x:v>Collected</x:v>
      </x:c>
      <x:c r="P206" s="34"/>
      <x:c r="Q206" s="35"/>
      <x:c r="R206" s="35"/>
    </x:row>
    <x:row r="207">
      <x:c r="A207" s="34" t="str">
        <x:f>IF(C207="","","SRC-"&amp;TEXT(ROW()-1,"000"))</x:f>
      </x:c>
      <x:c r="B207" s="35"/>
      <x:c r="C207" s="34"/>
      <x:c r="D207" s="34"/>
      <x:c r="E207" s="34"/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 t="str">
        <x:v>Collected</x:v>
      </x:c>
      <x:c r="P207" s="34"/>
      <x:c r="Q207" s="35"/>
      <x:c r="R207" s="35"/>
    </x:row>
    <x:row r="208">
      <x:c r="A208" s="34" t="str">
        <x:f>IF(C208="","","SRC-"&amp;TEXT(ROW()-1,"000"))</x:f>
      </x:c>
      <x:c r="B208" s="35"/>
      <x:c r="C208" s="34"/>
      <x:c r="D208" s="34"/>
      <x:c r="E208" s="34"/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 t="str">
        <x:v>Collected</x:v>
      </x:c>
      <x:c r="P208" s="34"/>
      <x:c r="Q208" s="35"/>
      <x:c r="R208" s="35"/>
    </x:row>
    <x:row r="209">
      <x:c r="A209" s="34" t="str">
        <x:f>IF(C209="","","SRC-"&amp;TEXT(ROW()-1,"000"))</x:f>
      </x:c>
      <x:c r="B209" s="35"/>
      <x:c r="C209" s="34"/>
      <x:c r="D209" s="34"/>
      <x:c r="E209" s="34"/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 t="str">
        <x:v>Collected</x:v>
      </x:c>
      <x:c r="P209" s="34"/>
      <x:c r="Q209" s="35"/>
      <x:c r="R209" s="35"/>
    </x:row>
    <x:row r="210">
      <x:c r="A210" s="34" t="str">
        <x:f>IF(C210="","","SRC-"&amp;TEXT(ROW()-1,"000"))</x:f>
      </x:c>
      <x:c r="B210" s="35"/>
      <x:c r="C210" s="34"/>
      <x:c r="D210" s="34"/>
      <x:c r="E210" s="34"/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 t="str">
        <x:v>Collected</x:v>
      </x:c>
      <x:c r="P210" s="34"/>
      <x:c r="Q210" s="35"/>
      <x:c r="R210" s="35"/>
    </x:row>
    <x:row r="211">
      <x:c r="A211" s="34" t="str">
        <x:f>IF(C211="","","SRC-"&amp;TEXT(ROW()-1,"000"))</x:f>
      </x:c>
      <x:c r="B211" s="35"/>
      <x:c r="C211" s="34"/>
      <x:c r="D211" s="34"/>
      <x:c r="E211" s="34"/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 t="str">
        <x:v>Collected</x:v>
      </x:c>
      <x:c r="P211" s="34"/>
      <x:c r="Q211" s="35"/>
      <x:c r="R211" s="35"/>
    </x:row>
    <x:row r="212">
      <x:c r="A212" s="34" t="str">
        <x:f>IF(C212="","","SRC-"&amp;TEXT(ROW()-1,"000"))</x:f>
      </x:c>
      <x:c r="B212" s="35"/>
      <x:c r="C212" s="34"/>
      <x:c r="D212" s="34"/>
      <x:c r="E212" s="34"/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 t="str">
        <x:v>Collected</x:v>
      </x:c>
      <x:c r="P212" s="34"/>
      <x:c r="Q212" s="35"/>
      <x:c r="R212" s="35"/>
    </x:row>
    <x:row r="213">
      <x:c r="A213" s="34" t="str">
        <x:f>IF(C213="","","SRC-"&amp;TEXT(ROW()-1,"000"))</x:f>
      </x:c>
      <x:c r="B213" s="35"/>
      <x:c r="C213" s="34"/>
      <x:c r="D213" s="34"/>
      <x:c r="E213" s="34"/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 t="str">
        <x:v>Collected</x:v>
      </x:c>
      <x:c r="P213" s="34"/>
      <x:c r="Q213" s="35"/>
      <x:c r="R213" s="35"/>
    </x:row>
    <x:row r="214">
      <x:c r="A214" s="34" t="str">
        <x:f>IF(C214="","","SRC-"&amp;TEXT(ROW()-1,"000"))</x:f>
      </x:c>
      <x:c r="B214" s="35"/>
      <x:c r="C214" s="34"/>
      <x:c r="D214" s="34"/>
      <x:c r="E214" s="34"/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 t="str">
        <x:v>Collected</x:v>
      </x:c>
      <x:c r="P214" s="34"/>
      <x:c r="Q214" s="35"/>
      <x:c r="R214" s="35"/>
    </x:row>
    <x:row r="215">
      <x:c r="A215" s="34" t="str">
        <x:f>IF(C215="","","SRC-"&amp;TEXT(ROW()-1,"000"))</x:f>
      </x:c>
      <x:c r="B215" s="35"/>
      <x:c r="C215" s="34"/>
      <x:c r="D215" s="34"/>
      <x:c r="E215" s="34"/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 t="str">
        <x:v>Collected</x:v>
      </x:c>
      <x:c r="P215" s="34"/>
      <x:c r="Q215" s="35"/>
      <x:c r="R215" s="35"/>
    </x:row>
    <x:row r="216">
      <x:c r="A216" s="34" t="str">
        <x:f>IF(C216="","","SRC-"&amp;TEXT(ROW()-1,"000"))</x:f>
      </x:c>
      <x:c r="B216" s="35"/>
      <x:c r="C216" s="34"/>
      <x:c r="D216" s="34"/>
      <x:c r="E216" s="34"/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 t="str">
        <x:v>Collected</x:v>
      </x:c>
      <x:c r="P216" s="34"/>
      <x:c r="Q216" s="35"/>
      <x:c r="R216" s="35"/>
    </x:row>
    <x:row r="217">
      <x:c r="A217" s="34" t="str">
        <x:f>IF(C217="","","SRC-"&amp;TEXT(ROW()-1,"000"))</x:f>
      </x:c>
      <x:c r="B217" s="35"/>
      <x:c r="C217" s="34"/>
      <x:c r="D217" s="34"/>
      <x:c r="E217" s="34"/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 t="str">
        <x:v>Collected</x:v>
      </x:c>
      <x:c r="P217" s="34"/>
      <x:c r="Q217" s="35"/>
      <x:c r="R217" s="35"/>
    </x:row>
    <x:row r="218">
      <x:c r="A218" s="34" t="str">
        <x:f>IF(C218="","","SRC-"&amp;TEXT(ROW()-1,"000"))</x:f>
      </x:c>
      <x:c r="B218" s="35"/>
      <x:c r="C218" s="34"/>
      <x:c r="D218" s="34"/>
      <x:c r="E218" s="34"/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 t="str">
        <x:v>Collected</x:v>
      </x:c>
      <x:c r="P218" s="34"/>
      <x:c r="Q218" s="35"/>
      <x:c r="R218" s="35"/>
    </x:row>
    <x:row r="219">
      <x:c r="A219" s="34" t="str">
        <x:f>IF(C219="","","SRC-"&amp;TEXT(ROW()-1,"000"))</x:f>
      </x:c>
      <x:c r="B219" s="35"/>
      <x:c r="C219" s="34"/>
      <x:c r="D219" s="34"/>
      <x:c r="E219" s="34"/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 t="str">
        <x:v>Collected</x:v>
      </x:c>
      <x:c r="P219" s="34"/>
      <x:c r="Q219" s="35"/>
      <x:c r="R219" s="35"/>
    </x:row>
    <x:row r="220">
      <x:c r="A220" s="34" t="str">
        <x:f>IF(C220="","","SRC-"&amp;TEXT(ROW()-1,"000"))</x:f>
      </x:c>
      <x:c r="B220" s="35"/>
      <x:c r="C220" s="34"/>
      <x:c r="D220" s="34"/>
      <x:c r="E220" s="34"/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 t="str">
        <x:v>Collected</x:v>
      </x:c>
      <x:c r="P220" s="34"/>
      <x:c r="Q220" s="35"/>
      <x:c r="R220" s="35"/>
    </x:row>
    <x:row r="221">
      <x:c r="A221" s="34" t="str">
        <x:f>IF(C221="","","SRC-"&amp;TEXT(ROW()-1,"000"))</x:f>
      </x:c>
      <x:c r="B221" s="35"/>
      <x:c r="C221" s="34"/>
      <x:c r="D221" s="34"/>
      <x:c r="E221" s="34"/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 t="str">
        <x:v>Collected</x:v>
      </x:c>
      <x:c r="P221" s="34"/>
      <x:c r="Q221" s="35"/>
      <x:c r="R221" s="35"/>
    </x:row>
    <x:row r="222">
      <x:c r="A222" s="34" t="str">
        <x:f>IF(C222="","","SRC-"&amp;TEXT(ROW()-1,"000"))</x:f>
      </x:c>
      <x:c r="B222" s="35"/>
      <x:c r="C222" s="34"/>
      <x:c r="D222" s="34"/>
      <x:c r="E222" s="34"/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 t="str">
        <x:v>Collected</x:v>
      </x:c>
      <x:c r="P222" s="34"/>
      <x:c r="Q222" s="35"/>
      <x:c r="R222" s="35"/>
    </x:row>
    <x:row r="223">
      <x:c r="A223" s="34" t="str">
        <x:f>IF(C223="","","SRC-"&amp;TEXT(ROW()-1,"000"))</x:f>
      </x:c>
      <x:c r="B223" s="35"/>
      <x:c r="C223" s="34"/>
      <x:c r="D223" s="34"/>
      <x:c r="E223" s="34"/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 t="str">
        <x:v>Collected</x:v>
      </x:c>
      <x:c r="P223" s="34"/>
      <x:c r="Q223" s="35"/>
      <x:c r="R223" s="35"/>
    </x:row>
    <x:row r="224">
      <x:c r="A224" s="34" t="str">
        <x:f>IF(C224="","","SRC-"&amp;TEXT(ROW()-1,"000"))</x:f>
      </x:c>
      <x:c r="B224" s="35"/>
      <x:c r="C224" s="34"/>
      <x:c r="D224" s="34"/>
      <x:c r="E224" s="34"/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 t="str">
        <x:v>Collected</x:v>
      </x:c>
      <x:c r="P224" s="34"/>
      <x:c r="Q224" s="35"/>
      <x:c r="R224" s="35"/>
    </x:row>
    <x:row r="225">
      <x:c r="A225" s="34" t="str">
        <x:f>IF(C225="","","SRC-"&amp;TEXT(ROW()-1,"000"))</x:f>
      </x:c>
      <x:c r="B225" s="35"/>
      <x:c r="C225" s="34"/>
      <x:c r="D225" s="34"/>
      <x:c r="E225" s="34"/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 t="str">
        <x:v>Collected</x:v>
      </x:c>
      <x:c r="P225" s="34"/>
      <x:c r="Q225" s="35"/>
      <x:c r="R225" s="35"/>
    </x:row>
    <x:row r="226">
      <x:c r="A226" s="34" t="str">
        <x:f>IF(C226="","","SRC-"&amp;TEXT(ROW()-1,"000"))</x:f>
      </x:c>
      <x:c r="B226" s="35"/>
      <x:c r="C226" s="34"/>
      <x:c r="D226" s="34"/>
      <x:c r="E226" s="34"/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 t="str">
        <x:v>Collected</x:v>
      </x:c>
      <x:c r="P226" s="34"/>
      <x:c r="Q226" s="35"/>
      <x:c r="R226" s="35"/>
    </x:row>
    <x:row r="227">
      <x:c r="A227" s="34" t="str">
        <x:f>IF(C227="","","SRC-"&amp;TEXT(ROW()-1,"000"))</x:f>
      </x:c>
      <x:c r="B227" s="35"/>
      <x:c r="C227" s="34"/>
      <x:c r="D227" s="34"/>
      <x:c r="E227" s="34"/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 t="str">
        <x:v>Collected</x:v>
      </x:c>
      <x:c r="P227" s="34"/>
      <x:c r="Q227" s="35"/>
      <x:c r="R227" s="35"/>
    </x:row>
    <x:row r="228">
      <x:c r="A228" s="34" t="str">
        <x:f>IF(C228="","","SRC-"&amp;TEXT(ROW()-1,"000"))</x:f>
      </x:c>
      <x:c r="B228" s="35"/>
      <x:c r="C228" s="34"/>
      <x:c r="D228" s="34"/>
      <x:c r="E228" s="34"/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 t="str">
        <x:v>Collected</x:v>
      </x:c>
      <x:c r="P228" s="34"/>
      <x:c r="Q228" s="35"/>
      <x:c r="R228" s="35"/>
    </x:row>
    <x:row r="229">
      <x:c r="A229" s="34" t="str">
        <x:f>IF(C229="","","SRC-"&amp;TEXT(ROW()-1,"000"))</x:f>
      </x:c>
      <x:c r="B229" s="35"/>
      <x:c r="C229" s="34"/>
      <x:c r="D229" s="34"/>
      <x:c r="E229" s="34"/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 t="str">
        <x:v>Collected</x:v>
      </x:c>
      <x:c r="P229" s="34"/>
      <x:c r="Q229" s="35"/>
      <x:c r="R229" s="35"/>
    </x:row>
    <x:row r="230">
      <x:c r="A230" s="34" t="str">
        <x:f>IF(C230="","","SRC-"&amp;TEXT(ROW()-1,"000"))</x:f>
      </x:c>
      <x:c r="B230" s="35"/>
      <x:c r="C230" s="34"/>
      <x:c r="D230" s="34"/>
      <x:c r="E230" s="34"/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 t="str">
        <x:v>Collected</x:v>
      </x:c>
      <x:c r="P230" s="34"/>
      <x:c r="Q230" s="35"/>
      <x:c r="R230" s="35"/>
    </x:row>
    <x:row r="231">
      <x:c r="A231" s="34" t="str">
        <x:f>IF(C231="","","SRC-"&amp;TEXT(ROW()-1,"000"))</x:f>
      </x:c>
      <x:c r="B231" s="35"/>
      <x:c r="C231" s="34"/>
      <x:c r="D231" s="34"/>
      <x:c r="E231" s="34"/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 t="str">
        <x:v>Collected</x:v>
      </x:c>
      <x:c r="P231" s="34"/>
      <x:c r="Q231" s="35"/>
      <x:c r="R231" s="35"/>
    </x:row>
    <x:row r="232">
      <x:c r="A232" s="34" t="str">
        <x:f>IF(C232="","","SRC-"&amp;TEXT(ROW()-1,"000"))</x:f>
      </x:c>
      <x:c r="B232" s="35"/>
      <x:c r="C232" s="34"/>
      <x:c r="D232" s="34"/>
      <x:c r="E232" s="34"/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 t="str">
        <x:v>Collected</x:v>
      </x:c>
      <x:c r="P232" s="34"/>
      <x:c r="Q232" s="35"/>
      <x:c r="R232" s="35"/>
    </x:row>
    <x:row r="233">
      <x:c r="A233" s="34" t="str">
        <x:f>IF(C233="","","SRC-"&amp;TEXT(ROW()-1,"000"))</x:f>
      </x:c>
      <x:c r="B233" s="35"/>
      <x:c r="C233" s="34"/>
      <x:c r="D233" s="34"/>
      <x:c r="E233" s="34"/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 t="str">
        <x:v>Collected</x:v>
      </x:c>
      <x:c r="P233" s="34"/>
      <x:c r="Q233" s="35"/>
      <x:c r="R233" s="35"/>
    </x:row>
    <x:row r="234">
      <x:c r="A234" s="34" t="str">
        <x:f>IF(C234="","","SRC-"&amp;TEXT(ROW()-1,"000"))</x:f>
      </x:c>
      <x:c r="B234" s="35"/>
      <x:c r="C234" s="34"/>
      <x:c r="D234" s="34"/>
      <x:c r="E234" s="34"/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 t="str">
        <x:v>Collected</x:v>
      </x:c>
      <x:c r="P234" s="34"/>
      <x:c r="Q234" s="35"/>
      <x:c r="R234" s="35"/>
    </x:row>
    <x:row r="235">
      <x:c r="A235" s="34" t="str">
        <x:f>IF(C235="","","SRC-"&amp;TEXT(ROW()-1,"000"))</x:f>
      </x:c>
      <x:c r="B235" s="35"/>
      <x:c r="C235" s="34"/>
      <x:c r="D235" s="34"/>
      <x:c r="E235" s="34"/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 t="str">
        <x:v>Collected</x:v>
      </x:c>
      <x:c r="P235" s="34"/>
      <x:c r="Q235" s="35"/>
      <x:c r="R235" s="35"/>
    </x:row>
    <x:row r="236">
      <x:c r="A236" s="34" t="str">
        <x:f>IF(C236="","","SRC-"&amp;TEXT(ROW()-1,"000"))</x:f>
      </x:c>
      <x:c r="B236" s="35"/>
      <x:c r="C236" s="34"/>
      <x:c r="D236" s="34"/>
      <x:c r="E236" s="34"/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 t="str">
        <x:v>Collected</x:v>
      </x:c>
      <x:c r="P236" s="34"/>
      <x:c r="Q236" s="35"/>
      <x:c r="R236" s="35"/>
    </x:row>
    <x:row r="237">
      <x:c r="A237" s="34" t="str">
        <x:f>IF(C237="","","SRC-"&amp;TEXT(ROW()-1,"000"))</x:f>
      </x:c>
      <x:c r="B237" s="35"/>
      <x:c r="C237" s="34"/>
      <x:c r="D237" s="34"/>
      <x:c r="E237" s="34"/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 t="str">
        <x:v>Collected</x:v>
      </x:c>
      <x:c r="P237" s="34"/>
      <x:c r="Q237" s="35"/>
      <x:c r="R237" s="35"/>
    </x:row>
    <x:row r="238">
      <x:c r="A238" s="34" t="str">
        <x:f>IF(C238="","","SRC-"&amp;TEXT(ROW()-1,"000"))</x:f>
      </x:c>
      <x:c r="B238" s="35"/>
      <x:c r="C238" s="34"/>
      <x:c r="D238" s="34"/>
      <x:c r="E238" s="34"/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 t="str">
        <x:v>Collected</x:v>
      </x:c>
      <x:c r="P238" s="34"/>
      <x:c r="Q238" s="35"/>
      <x:c r="R238" s="35"/>
    </x:row>
    <x:row r="239">
      <x:c r="A239" s="34" t="str">
        <x:f>IF(C239="","","SRC-"&amp;TEXT(ROW()-1,"000"))</x:f>
      </x:c>
      <x:c r="B239" s="35"/>
      <x:c r="C239" s="34"/>
      <x:c r="D239" s="34"/>
      <x:c r="E239" s="34"/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 t="str">
        <x:v>Collected</x:v>
      </x:c>
      <x:c r="P239" s="34"/>
      <x:c r="Q239" s="35"/>
      <x:c r="R239" s="35"/>
    </x:row>
    <x:row r="240">
      <x:c r="A240" s="34" t="str">
        <x:f>IF(C240="","","SRC-"&amp;TEXT(ROW()-1,"000"))</x:f>
      </x:c>
      <x:c r="B240" s="35"/>
      <x:c r="C240" s="34"/>
      <x:c r="D240" s="34"/>
      <x:c r="E240" s="34"/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 t="str">
        <x:v>Collected</x:v>
      </x:c>
      <x:c r="P240" s="34"/>
      <x:c r="Q240" s="35"/>
      <x:c r="R240" s="35"/>
    </x:row>
    <x:row r="241">
      <x:c r="A241" s="34" t="str">
        <x:f>IF(C241="","","SRC-"&amp;TEXT(ROW()-1,"000"))</x:f>
      </x:c>
      <x:c r="B241" s="35"/>
      <x:c r="C241" s="34"/>
      <x:c r="D241" s="34"/>
      <x:c r="E241" s="34"/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 t="str">
        <x:v>Collected</x:v>
      </x:c>
      <x:c r="P241" s="34"/>
      <x:c r="Q241" s="35"/>
      <x:c r="R241" s="35"/>
    </x:row>
    <x:row r="242">
      <x:c r="A242" s="34" t="str">
        <x:f>IF(C242="","","SRC-"&amp;TEXT(ROW()-1,"000"))</x:f>
      </x:c>
      <x:c r="B242" s="35"/>
      <x:c r="C242" s="34"/>
      <x:c r="D242" s="34"/>
      <x:c r="E242" s="34"/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 t="str">
        <x:v>Collected</x:v>
      </x:c>
      <x:c r="P242" s="34"/>
      <x:c r="Q242" s="35"/>
      <x:c r="R242" s="35"/>
    </x:row>
    <x:row r="243">
      <x:c r="A243" s="34" t="str">
        <x:f>IF(C243="","","SRC-"&amp;TEXT(ROW()-1,"000"))</x:f>
      </x:c>
      <x:c r="B243" s="35"/>
      <x:c r="C243" s="34"/>
      <x:c r="D243" s="34"/>
      <x:c r="E243" s="34"/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 t="str">
        <x:v>Collected</x:v>
      </x:c>
      <x:c r="P243" s="34"/>
      <x:c r="Q243" s="35"/>
      <x:c r="R243" s="35"/>
    </x:row>
    <x:row r="244">
      <x:c r="A244" s="34" t="str">
        <x:f>IF(C244="","","SRC-"&amp;TEXT(ROW()-1,"000"))</x:f>
      </x:c>
      <x:c r="B244" s="35"/>
      <x:c r="C244" s="34"/>
      <x:c r="D244" s="34"/>
      <x:c r="E244" s="34"/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 t="str">
        <x:v>Collected</x:v>
      </x:c>
      <x:c r="P244" s="34"/>
      <x:c r="Q244" s="35"/>
      <x:c r="R244" s="35"/>
    </x:row>
    <x:row r="245">
      <x:c r="A245" s="34" t="str">
        <x:f>IF(C245="","","SRC-"&amp;TEXT(ROW()-1,"000"))</x:f>
      </x:c>
      <x:c r="B245" s="35"/>
      <x:c r="C245" s="34"/>
      <x:c r="D245" s="34"/>
      <x:c r="E245" s="34"/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 t="str">
        <x:v>Collected</x:v>
      </x:c>
      <x:c r="P245" s="34"/>
      <x:c r="Q245" s="35"/>
      <x:c r="R245" s="35"/>
    </x:row>
    <x:row r="246">
      <x:c r="A246" s="34" t="str">
        <x:f>IF(C246="","","SRC-"&amp;TEXT(ROW()-1,"000"))</x:f>
      </x:c>
      <x:c r="B246" s="35"/>
      <x:c r="C246" s="34"/>
      <x:c r="D246" s="34"/>
      <x:c r="E246" s="34"/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 t="str">
        <x:v>Collected</x:v>
      </x:c>
      <x:c r="P246" s="34"/>
      <x:c r="Q246" s="35"/>
      <x:c r="R246" s="35"/>
    </x:row>
    <x:row r="247">
      <x:c r="A247" s="34" t="str">
        <x:f>IF(C247="","","SRC-"&amp;TEXT(ROW()-1,"000"))</x:f>
      </x:c>
      <x:c r="B247" s="35"/>
      <x:c r="C247" s="34"/>
      <x:c r="D247" s="34"/>
      <x:c r="E247" s="34"/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 t="str">
        <x:v>Collected</x:v>
      </x:c>
      <x:c r="P247" s="34"/>
      <x:c r="Q247" s="35"/>
      <x:c r="R247" s="35"/>
    </x:row>
    <x:row r="248">
      <x:c r="A248" s="34" t="str">
        <x:f>IF(C248="","","SRC-"&amp;TEXT(ROW()-1,"000"))</x:f>
      </x:c>
      <x:c r="B248" s="35"/>
      <x:c r="C248" s="34"/>
      <x:c r="D248" s="34"/>
      <x:c r="E248" s="34"/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 t="str">
        <x:v>Collected</x:v>
      </x:c>
      <x:c r="P248" s="34"/>
      <x:c r="Q248" s="35"/>
      <x:c r="R248" s="35"/>
    </x:row>
    <x:row r="249">
      <x:c r="A249" s="34" t="str">
        <x:f>IF(C249="","","SRC-"&amp;TEXT(ROW()-1,"000"))</x:f>
      </x:c>
      <x:c r="B249" s="35"/>
      <x:c r="C249" s="34"/>
      <x:c r="D249" s="34"/>
      <x:c r="E249" s="34"/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 t="str">
        <x:v>Collected</x:v>
      </x:c>
      <x:c r="P249" s="34"/>
      <x:c r="Q249" s="35"/>
      <x:c r="R249" s="35"/>
    </x:row>
    <x:row r="250">
      <x:c r="A250" s="34" t="str">
        <x:f>IF(C250="","","SRC-"&amp;TEXT(ROW()-1,"000"))</x:f>
      </x:c>
      <x:c r="B250" s="35"/>
      <x:c r="C250" s="34"/>
      <x:c r="D250" s="34"/>
      <x:c r="E250" s="34"/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 t="str">
        <x:v>Collected</x:v>
      </x:c>
      <x:c r="P250" s="34"/>
      <x:c r="Q250" s="35"/>
      <x:c r="R250" s="35"/>
    </x:row>
    <x:row r="251">
      <x:c r="A251" s="34" t="str">
        <x:f>IF(C251="","","SRC-"&amp;TEXT(ROW()-1,"000"))</x:f>
      </x:c>
      <x:c r="B251" s="35"/>
      <x:c r="C251" s="34"/>
      <x:c r="D251" s="34"/>
      <x:c r="E251" s="34"/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 t="str">
        <x:v>Collected</x:v>
      </x:c>
      <x:c r="P251" s="34"/>
      <x:c r="Q251" s="35"/>
      <x:c r="R251" s="35"/>
    </x:row>
    <x:row r="252">
      <x:c r="A252" s="34" t="str">
        <x:f>IF(C252="","","SRC-"&amp;TEXT(ROW()-1,"000"))</x:f>
      </x:c>
      <x:c r="B252" s="35"/>
      <x:c r="C252" s="34"/>
      <x:c r="D252" s="34"/>
      <x:c r="E252" s="34"/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 t="str">
        <x:v>Collected</x:v>
      </x:c>
      <x:c r="P252" s="34"/>
      <x:c r="Q252" s="35"/>
      <x:c r="R252" s="35"/>
    </x:row>
    <x:row r="253">
      <x:c r="A253" s="34" t="str">
        <x:f>IF(C253="","","SRC-"&amp;TEXT(ROW()-1,"000"))</x:f>
      </x:c>
      <x:c r="B253" s="35"/>
      <x:c r="C253" s="34"/>
      <x:c r="D253" s="34"/>
      <x:c r="E253" s="34"/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 t="str">
        <x:v>Collected</x:v>
      </x:c>
      <x:c r="P253" s="34"/>
      <x:c r="Q253" s="35"/>
      <x:c r="R253" s="35"/>
    </x:row>
    <x:row r="254">
      <x:c r="A254" s="34" t="str">
        <x:f>IF(C254="","","SRC-"&amp;TEXT(ROW()-1,"000"))</x:f>
      </x:c>
      <x:c r="B254" s="35"/>
      <x:c r="C254" s="34"/>
      <x:c r="D254" s="34"/>
      <x:c r="E254" s="34"/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 t="str">
        <x:v>Collected</x:v>
      </x:c>
      <x:c r="P254" s="34"/>
      <x:c r="Q254" s="35"/>
      <x:c r="R254" s="35"/>
    </x:row>
    <x:row r="255">
      <x:c r="A255" s="34" t="str">
        <x:f>IF(C255="","","SRC-"&amp;TEXT(ROW()-1,"000"))</x:f>
      </x:c>
      <x:c r="B255" s="35"/>
      <x:c r="C255" s="34"/>
      <x:c r="D255" s="34"/>
      <x:c r="E255" s="34"/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 t="str">
        <x:v>Collected</x:v>
      </x:c>
      <x:c r="P255" s="34"/>
      <x:c r="Q255" s="35"/>
      <x:c r="R255" s="35"/>
    </x:row>
    <x:row r="256">
      <x:c r="A256" s="34" t="str">
        <x:f>IF(C256="","","SRC-"&amp;TEXT(ROW()-1,"000"))</x:f>
      </x:c>
      <x:c r="B256" s="35"/>
      <x:c r="C256" s="34"/>
      <x:c r="D256" s="34"/>
      <x:c r="E256" s="34"/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 t="str">
        <x:v>Collected</x:v>
      </x:c>
      <x:c r="P256" s="34"/>
      <x:c r="Q256" s="35"/>
      <x:c r="R256" s="35"/>
    </x:row>
    <x:row r="257">
      <x:c r="A257" s="34" t="str">
        <x:f>IF(C257="","","SRC-"&amp;TEXT(ROW()-1,"000"))</x:f>
      </x:c>
      <x:c r="B257" s="35"/>
      <x:c r="C257" s="34"/>
      <x:c r="D257" s="34"/>
      <x:c r="E257" s="34"/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 t="str">
        <x:v>Collected</x:v>
      </x:c>
      <x:c r="P257" s="34"/>
      <x:c r="Q257" s="35"/>
      <x:c r="R257" s="35"/>
    </x:row>
    <x:row r="258">
      <x:c r="A258" s="34" t="str">
        <x:f>IF(C258="","","SRC-"&amp;TEXT(ROW()-1,"000"))</x:f>
      </x:c>
      <x:c r="B258" s="35"/>
      <x:c r="C258" s="34"/>
      <x:c r="D258" s="34"/>
      <x:c r="E258" s="34"/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 t="str">
        <x:v>Collected</x:v>
      </x:c>
      <x:c r="P258" s="34"/>
      <x:c r="Q258" s="35"/>
      <x:c r="R258" s="35"/>
    </x:row>
    <x:row r="259">
      <x:c r="A259" s="34" t="str">
        <x:f>IF(C259="","","SRC-"&amp;TEXT(ROW()-1,"000"))</x:f>
      </x:c>
      <x:c r="B259" s="35"/>
      <x:c r="C259" s="34"/>
      <x:c r="D259" s="34"/>
      <x:c r="E259" s="34"/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 t="str">
        <x:v>Collected</x:v>
      </x:c>
      <x:c r="P259" s="34"/>
      <x:c r="Q259" s="35"/>
      <x:c r="R259" s="35"/>
    </x:row>
    <x:row r="260">
      <x:c r="A260" s="34" t="str">
        <x:f>IF(C260="","","SRC-"&amp;TEXT(ROW()-1,"000"))</x:f>
      </x:c>
      <x:c r="B260" s="35"/>
      <x:c r="C260" s="34"/>
      <x:c r="D260" s="34"/>
      <x:c r="E260" s="34"/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 t="str">
        <x:v>Collected</x:v>
      </x:c>
      <x:c r="P260" s="34"/>
      <x:c r="Q260" s="35"/>
      <x:c r="R260" s="35"/>
    </x:row>
    <x:row r="261">
      <x:c r="A261" s="34" t="str">
        <x:f>IF(C261="","","SRC-"&amp;TEXT(ROW()-1,"000"))</x:f>
      </x:c>
      <x:c r="B261" s="35"/>
      <x:c r="C261" s="34"/>
      <x:c r="D261" s="34"/>
      <x:c r="E261" s="34"/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 t="str">
        <x:v>Collected</x:v>
      </x:c>
      <x:c r="P261" s="34"/>
      <x:c r="Q261" s="35"/>
      <x:c r="R261" s="35"/>
    </x:row>
    <x:row r="262">
      <x:c r="A262" s="34" t="str">
        <x:f>IF(C262="","","SRC-"&amp;TEXT(ROW()-1,"000"))</x:f>
      </x:c>
      <x:c r="B262" s="35"/>
      <x:c r="C262" s="34"/>
      <x:c r="D262" s="34"/>
      <x:c r="E262" s="34"/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 t="str">
        <x:v>Collected</x:v>
      </x:c>
      <x:c r="P262" s="34"/>
      <x:c r="Q262" s="35"/>
      <x:c r="R262" s="35"/>
    </x:row>
    <x:row r="263">
      <x:c r="A263" s="34" t="str">
        <x:f>IF(C263="","","SRC-"&amp;TEXT(ROW()-1,"000"))</x:f>
      </x:c>
      <x:c r="B263" s="35"/>
      <x:c r="C263" s="34"/>
      <x:c r="D263" s="34"/>
      <x:c r="E263" s="34"/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 t="str">
        <x:v>Collected</x:v>
      </x:c>
      <x:c r="P263" s="34"/>
      <x:c r="Q263" s="35"/>
      <x:c r="R263" s="35"/>
    </x:row>
    <x:row r="264">
      <x:c r="A264" s="34" t="str">
        <x:f>IF(C264="","","SRC-"&amp;TEXT(ROW()-1,"000"))</x:f>
      </x:c>
      <x:c r="B264" s="35"/>
      <x:c r="C264" s="34"/>
      <x:c r="D264" s="34"/>
      <x:c r="E264" s="34"/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 t="str">
        <x:v>Collected</x:v>
      </x:c>
      <x:c r="P264" s="34"/>
      <x:c r="Q264" s="35"/>
      <x:c r="R264" s="35"/>
    </x:row>
    <x:row r="265">
      <x:c r="A265" s="34" t="str">
        <x:f>IF(C265="","","SRC-"&amp;TEXT(ROW()-1,"000"))</x:f>
      </x:c>
      <x:c r="B265" s="35"/>
      <x:c r="C265" s="34"/>
      <x:c r="D265" s="34"/>
      <x:c r="E265" s="34"/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 t="str">
        <x:v>Collected</x:v>
      </x:c>
      <x:c r="P265" s="34"/>
      <x:c r="Q265" s="35"/>
      <x:c r="R265" s="35"/>
    </x:row>
    <x:row r="266">
      <x:c r="A266" s="34" t="str">
        <x:f>IF(C266="","","SRC-"&amp;TEXT(ROW()-1,"000"))</x:f>
      </x:c>
      <x:c r="B266" s="35"/>
      <x:c r="C266" s="34"/>
      <x:c r="D266" s="34"/>
      <x:c r="E266" s="34"/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 t="str">
        <x:v>Collected</x:v>
      </x:c>
      <x:c r="P266" s="34"/>
      <x:c r="Q266" s="35"/>
      <x:c r="R266" s="35"/>
    </x:row>
    <x:row r="267">
      <x:c r="A267" s="34" t="str">
        <x:f>IF(C267="","","SRC-"&amp;TEXT(ROW()-1,"000"))</x:f>
      </x:c>
      <x:c r="B267" s="35"/>
      <x:c r="C267" s="34"/>
      <x:c r="D267" s="34"/>
      <x:c r="E267" s="34"/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 t="str">
        <x:v>Collected</x:v>
      </x:c>
      <x:c r="P267" s="34"/>
      <x:c r="Q267" s="35"/>
      <x:c r="R267" s="35"/>
    </x:row>
    <x:row r="268">
      <x:c r="A268" s="34" t="str">
        <x:f>IF(C268="","","SRC-"&amp;TEXT(ROW()-1,"000"))</x:f>
      </x:c>
      <x:c r="B268" s="35"/>
      <x:c r="C268" s="34"/>
      <x:c r="D268" s="34"/>
      <x:c r="E268" s="34"/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 t="str">
        <x:v>Collected</x:v>
      </x:c>
      <x:c r="P268" s="34"/>
      <x:c r="Q268" s="35"/>
      <x:c r="R268" s="35"/>
    </x:row>
    <x:row r="269">
      <x:c r="A269" s="34" t="str">
        <x:f>IF(C269="","","SRC-"&amp;TEXT(ROW()-1,"000"))</x:f>
      </x:c>
      <x:c r="B269" s="35"/>
      <x:c r="C269" s="34"/>
      <x:c r="D269" s="34"/>
      <x:c r="E269" s="34"/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 t="str">
        <x:v>Collected</x:v>
      </x:c>
      <x:c r="P269" s="34"/>
      <x:c r="Q269" s="35"/>
      <x:c r="R269" s="35"/>
    </x:row>
    <x:row r="270">
      <x:c r="A270" s="34" t="str">
        <x:f>IF(C270="","","SRC-"&amp;TEXT(ROW()-1,"000"))</x:f>
      </x:c>
      <x:c r="B270" s="35"/>
      <x:c r="C270" s="34"/>
      <x:c r="D270" s="34"/>
      <x:c r="E270" s="34"/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 t="str">
        <x:v>Collected</x:v>
      </x:c>
      <x:c r="P270" s="34"/>
      <x:c r="Q270" s="35"/>
      <x:c r="R270" s="35"/>
    </x:row>
    <x:row r="271">
      <x:c r="A271" s="34" t="str">
        <x:f>IF(C271="","","SRC-"&amp;TEXT(ROW()-1,"000"))</x:f>
      </x:c>
      <x:c r="B271" s="35"/>
      <x:c r="C271" s="34"/>
      <x:c r="D271" s="34"/>
      <x:c r="E271" s="34"/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 t="str">
        <x:v>Collected</x:v>
      </x:c>
      <x:c r="P271" s="34"/>
      <x:c r="Q271" s="35"/>
      <x:c r="R271" s="35"/>
    </x:row>
    <x:row r="272">
      <x:c r="A272" s="34" t="str">
        <x:f>IF(C272="","","SRC-"&amp;TEXT(ROW()-1,"000"))</x:f>
      </x:c>
      <x:c r="B272" s="35"/>
      <x:c r="C272" s="34"/>
      <x:c r="D272" s="34"/>
      <x:c r="E272" s="34"/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 t="str">
        <x:v>Collected</x:v>
      </x:c>
      <x:c r="P272" s="34"/>
      <x:c r="Q272" s="35"/>
      <x:c r="R272" s="35"/>
    </x:row>
    <x:row r="273">
      <x:c r="A273" s="34" t="str">
        <x:f>IF(C273="","","SRC-"&amp;TEXT(ROW()-1,"000"))</x:f>
      </x:c>
      <x:c r="B273" s="35"/>
      <x:c r="C273" s="34"/>
      <x:c r="D273" s="34"/>
      <x:c r="E273" s="34"/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 t="str">
        <x:v>Collected</x:v>
      </x:c>
      <x:c r="P273" s="34"/>
      <x:c r="Q273" s="35"/>
      <x:c r="R273" s="35"/>
    </x:row>
    <x:row r="274">
      <x:c r="A274" s="34" t="str">
        <x:f>IF(C274="","","SRC-"&amp;TEXT(ROW()-1,"000"))</x:f>
      </x:c>
      <x:c r="B274" s="35"/>
      <x:c r="C274" s="34"/>
      <x:c r="D274" s="34"/>
      <x:c r="E274" s="34"/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 t="str">
        <x:v>Collected</x:v>
      </x:c>
      <x:c r="P274" s="34"/>
      <x:c r="Q274" s="35"/>
      <x:c r="R274" s="35"/>
    </x:row>
    <x:row r="275">
      <x:c r="A275" s="34" t="str">
        <x:f>IF(C275="","","SRC-"&amp;TEXT(ROW()-1,"000"))</x:f>
      </x:c>
      <x:c r="B275" s="35"/>
      <x:c r="C275" s="34"/>
      <x:c r="D275" s="34"/>
      <x:c r="E275" s="34"/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 t="str">
        <x:v>Collected</x:v>
      </x:c>
      <x:c r="P275" s="34"/>
      <x:c r="Q275" s="35"/>
      <x:c r="R275" s="35"/>
    </x:row>
    <x:row r="276">
      <x:c r="A276" s="34" t="str">
        <x:f>IF(C276="","","SRC-"&amp;TEXT(ROW()-1,"000"))</x:f>
      </x:c>
      <x:c r="B276" s="35"/>
      <x:c r="C276" s="34"/>
      <x:c r="D276" s="34"/>
      <x:c r="E276" s="34"/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 t="str">
        <x:v>Collected</x:v>
      </x:c>
      <x:c r="P276" s="34"/>
      <x:c r="Q276" s="35"/>
      <x:c r="R276" s="35"/>
    </x:row>
    <x:row r="277">
      <x:c r="A277" s="34" t="str">
        <x:f>IF(C277="","","SRC-"&amp;TEXT(ROW()-1,"000"))</x:f>
      </x:c>
      <x:c r="B277" s="35"/>
      <x:c r="C277" s="34"/>
      <x:c r="D277" s="34"/>
      <x:c r="E277" s="34"/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 t="str">
        <x:v>Collected</x:v>
      </x:c>
      <x:c r="P277" s="34"/>
      <x:c r="Q277" s="35"/>
      <x:c r="R277" s="35"/>
    </x:row>
    <x:row r="278">
      <x:c r="A278" s="34" t="str">
        <x:f>IF(C278="","","SRC-"&amp;TEXT(ROW()-1,"000"))</x:f>
      </x:c>
      <x:c r="B278" s="35"/>
      <x:c r="C278" s="34"/>
      <x:c r="D278" s="34"/>
      <x:c r="E278" s="34"/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 t="str">
        <x:v>Collected</x:v>
      </x:c>
      <x:c r="P278" s="34"/>
      <x:c r="Q278" s="35"/>
      <x:c r="R278" s="35"/>
    </x:row>
    <x:row r="279">
      <x:c r="A279" s="34" t="str">
        <x:f>IF(C279="","","SRC-"&amp;TEXT(ROW()-1,"000"))</x:f>
      </x:c>
      <x:c r="B279" s="35"/>
      <x:c r="C279" s="34"/>
      <x:c r="D279" s="34"/>
      <x:c r="E279" s="34"/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 t="str">
        <x:v>Collected</x:v>
      </x:c>
      <x:c r="P279" s="34"/>
      <x:c r="Q279" s="35"/>
      <x:c r="R279" s="35"/>
    </x:row>
    <x:row r="280">
      <x:c r="A280" s="34" t="str">
        <x:f>IF(C280="","","SRC-"&amp;TEXT(ROW()-1,"000"))</x:f>
      </x:c>
      <x:c r="B280" s="35"/>
      <x:c r="C280" s="34"/>
      <x:c r="D280" s="34"/>
      <x:c r="E280" s="34"/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 t="str">
        <x:v>Collected</x:v>
      </x:c>
      <x:c r="P280" s="34"/>
      <x:c r="Q280" s="35"/>
      <x:c r="R280" s="35"/>
    </x:row>
    <x:row r="281">
      <x:c r="A281" s="34" t="str">
        <x:f>IF(C281="","","SRC-"&amp;TEXT(ROW()-1,"000"))</x:f>
      </x:c>
      <x:c r="B281" s="35"/>
      <x:c r="C281" s="34"/>
      <x:c r="D281" s="34"/>
      <x:c r="E281" s="34"/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 t="str">
        <x:v>Collected</x:v>
      </x:c>
      <x:c r="P281" s="34"/>
      <x:c r="Q281" s="35"/>
      <x:c r="R281" s="35"/>
    </x:row>
    <x:row r="282">
      <x:c r="A282" s="34" t="str">
        <x:f>IF(C282="","","SRC-"&amp;TEXT(ROW()-1,"000"))</x:f>
      </x:c>
      <x:c r="B282" s="35"/>
      <x:c r="C282" s="34"/>
      <x:c r="D282" s="34"/>
      <x:c r="E282" s="34"/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 t="str">
        <x:v>Collected</x:v>
      </x:c>
      <x:c r="P282" s="34"/>
      <x:c r="Q282" s="35"/>
      <x:c r="R282" s="35"/>
    </x:row>
    <x:row r="283">
      <x:c r="A283" s="34" t="str">
        <x:f>IF(C283="","","SRC-"&amp;TEXT(ROW()-1,"000"))</x:f>
      </x:c>
      <x:c r="B283" s="35"/>
      <x:c r="C283" s="34"/>
      <x:c r="D283" s="34"/>
      <x:c r="E283" s="34"/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 t="str">
        <x:v>Collected</x:v>
      </x:c>
      <x:c r="P283" s="34"/>
      <x:c r="Q283" s="35"/>
      <x:c r="R283" s="35"/>
    </x:row>
    <x:row r="284">
      <x:c r="A284" s="34" t="str">
        <x:f>IF(C284="","","SRC-"&amp;TEXT(ROW()-1,"000"))</x:f>
      </x:c>
      <x:c r="B284" s="35"/>
      <x:c r="C284" s="34"/>
      <x:c r="D284" s="34"/>
      <x:c r="E284" s="34"/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 t="str">
        <x:v>Collected</x:v>
      </x:c>
      <x:c r="P284" s="34"/>
      <x:c r="Q284" s="35"/>
      <x:c r="R284" s="35"/>
    </x:row>
    <x:row r="285">
      <x:c r="A285" s="34" t="str">
        <x:f>IF(C285="","","SRC-"&amp;TEXT(ROW()-1,"000"))</x:f>
      </x:c>
      <x:c r="B285" s="35"/>
      <x:c r="C285" s="34"/>
      <x:c r="D285" s="34"/>
      <x:c r="E285" s="34"/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 t="str">
        <x:v>Collected</x:v>
      </x:c>
      <x:c r="P285" s="34"/>
      <x:c r="Q285" s="35"/>
      <x:c r="R285" s="35"/>
    </x:row>
    <x:row r="286">
      <x:c r="A286" s="34" t="str">
        <x:f>IF(C286="","","SRC-"&amp;TEXT(ROW()-1,"000"))</x:f>
      </x:c>
      <x:c r="B286" s="35"/>
      <x:c r="C286" s="34"/>
      <x:c r="D286" s="34"/>
      <x:c r="E286" s="34"/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 t="str">
        <x:v>Collected</x:v>
      </x:c>
      <x:c r="P286" s="34"/>
      <x:c r="Q286" s="35"/>
      <x:c r="R286" s="35"/>
    </x:row>
    <x:row r="287">
      <x:c r="A287" s="34" t="str">
        <x:f>IF(C287="","","SRC-"&amp;TEXT(ROW()-1,"000"))</x:f>
      </x:c>
      <x:c r="B287" s="35"/>
      <x:c r="C287" s="34"/>
      <x:c r="D287" s="34"/>
      <x:c r="E287" s="34"/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 t="str">
        <x:v>Collected</x:v>
      </x:c>
      <x:c r="P287" s="34"/>
      <x:c r="Q287" s="35"/>
      <x:c r="R287" s="35"/>
    </x:row>
    <x:row r="288">
      <x:c r="A288" s="34" t="str">
        <x:f>IF(C288="","","SRC-"&amp;TEXT(ROW()-1,"000"))</x:f>
      </x:c>
      <x:c r="B288" s="35"/>
      <x:c r="C288" s="34"/>
      <x:c r="D288" s="34"/>
      <x:c r="E288" s="34"/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 t="str">
        <x:v>Collected</x:v>
      </x:c>
      <x:c r="P288" s="34"/>
      <x:c r="Q288" s="35"/>
      <x:c r="R288" s="35"/>
    </x:row>
    <x:row r="289">
      <x:c r="A289" s="34" t="str">
        <x:f>IF(C289="","","SRC-"&amp;TEXT(ROW()-1,"000"))</x:f>
      </x:c>
      <x:c r="B289" s="35"/>
      <x:c r="C289" s="34"/>
      <x:c r="D289" s="34"/>
      <x:c r="E289" s="34"/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 t="str">
        <x:v>Collected</x:v>
      </x:c>
      <x:c r="P289" s="34"/>
      <x:c r="Q289" s="35"/>
      <x:c r="R289" s="35"/>
    </x:row>
    <x:row r="290">
      <x:c r="A290" s="34" t="str">
        <x:f>IF(C290="","","SRC-"&amp;TEXT(ROW()-1,"000"))</x:f>
      </x:c>
      <x:c r="B290" s="35"/>
      <x:c r="C290" s="34"/>
      <x:c r="D290" s="34"/>
      <x:c r="E290" s="34"/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 t="str">
        <x:v>Collected</x:v>
      </x:c>
      <x:c r="P290" s="34"/>
      <x:c r="Q290" s="35"/>
      <x:c r="R290" s="35"/>
    </x:row>
    <x:row r="291">
      <x:c r="A291" s="34" t="str">
        <x:f>IF(C291="","","SRC-"&amp;TEXT(ROW()-1,"000"))</x:f>
      </x:c>
      <x:c r="B291" s="35"/>
      <x:c r="C291" s="34"/>
      <x:c r="D291" s="34"/>
      <x:c r="E291" s="34"/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 t="str">
        <x:v>Collected</x:v>
      </x:c>
      <x:c r="P291" s="34"/>
      <x:c r="Q291" s="35"/>
      <x:c r="R291" s="35"/>
    </x:row>
    <x:row r="292">
      <x:c r="A292" s="34" t="str">
        <x:f>IF(C292="","","SRC-"&amp;TEXT(ROW()-1,"000"))</x:f>
      </x:c>
      <x:c r="B292" s="35"/>
      <x:c r="C292" s="34"/>
      <x:c r="D292" s="34"/>
      <x:c r="E292" s="34"/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 t="str">
        <x:v>Collected</x:v>
      </x:c>
      <x:c r="P292" s="34"/>
      <x:c r="Q292" s="35"/>
      <x:c r="R292" s="35"/>
    </x:row>
    <x:row r="293">
      <x:c r="A293" s="34" t="str">
        <x:f>IF(C293="","","SRC-"&amp;TEXT(ROW()-1,"000"))</x:f>
      </x:c>
      <x:c r="B293" s="35"/>
      <x:c r="C293" s="34"/>
      <x:c r="D293" s="34"/>
      <x:c r="E293" s="34"/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 t="str">
        <x:v>Collected</x:v>
      </x:c>
      <x:c r="P293" s="34"/>
      <x:c r="Q293" s="35"/>
      <x:c r="R293" s="35"/>
    </x:row>
    <x:row r="294">
      <x:c r="A294" s="34" t="str">
        <x:f>IF(C294="","","SRC-"&amp;TEXT(ROW()-1,"000"))</x:f>
      </x:c>
      <x:c r="B294" s="35"/>
      <x:c r="C294" s="34"/>
      <x:c r="D294" s="34"/>
      <x:c r="E294" s="34"/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 t="str">
        <x:v>Collected</x:v>
      </x:c>
      <x:c r="P294" s="34"/>
      <x:c r="Q294" s="35"/>
      <x:c r="R294" s="35"/>
    </x:row>
    <x:row r="295">
      <x:c r="A295" s="34" t="str">
        <x:f>IF(C295="","","SRC-"&amp;TEXT(ROW()-1,"000"))</x:f>
      </x:c>
      <x:c r="B295" s="35"/>
      <x:c r="C295" s="34"/>
      <x:c r="D295" s="34"/>
      <x:c r="E295" s="34"/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 t="str">
        <x:v>Collected</x:v>
      </x:c>
      <x:c r="P295" s="34"/>
      <x:c r="Q295" s="35"/>
      <x:c r="R295" s="35"/>
    </x:row>
    <x:row r="296">
      <x:c r="A296" s="34" t="str">
        <x:f>IF(C296="","","SRC-"&amp;TEXT(ROW()-1,"000"))</x:f>
      </x:c>
      <x:c r="B296" s="35"/>
      <x:c r="C296" s="34"/>
      <x:c r="D296" s="34"/>
      <x:c r="E296" s="34"/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 t="str">
        <x:v>Collected</x:v>
      </x:c>
      <x:c r="P296" s="34"/>
      <x:c r="Q296" s="35"/>
      <x:c r="R296" s="35"/>
    </x:row>
    <x:row r="297">
      <x:c r="A297" s="34" t="str">
        <x:f>IF(C297="","","SRC-"&amp;TEXT(ROW()-1,"000"))</x:f>
      </x:c>
      <x:c r="B297" s="35"/>
      <x:c r="C297" s="34"/>
      <x:c r="D297" s="34"/>
      <x:c r="E297" s="34"/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 t="str">
        <x:v>Collected</x:v>
      </x:c>
      <x:c r="P297" s="34"/>
      <x:c r="Q297" s="35"/>
      <x:c r="R297" s="35"/>
    </x:row>
    <x:row r="298">
      <x:c r="A298" s="34" t="str">
        <x:f>IF(C298="","","SRC-"&amp;TEXT(ROW()-1,"000"))</x:f>
      </x:c>
      <x:c r="B298" s="35"/>
      <x:c r="C298" s="34"/>
      <x:c r="D298" s="34"/>
      <x:c r="E298" s="34"/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 t="str">
        <x:v>Collected</x:v>
      </x:c>
      <x:c r="P298" s="34"/>
      <x:c r="Q298" s="35"/>
      <x:c r="R298" s="35"/>
    </x:row>
    <x:row r="299">
      <x:c r="A299" s="34" t="str">
        <x:f>IF(C299="","","SRC-"&amp;TEXT(ROW()-1,"000"))</x:f>
      </x:c>
      <x:c r="B299" s="35"/>
      <x:c r="C299" s="34"/>
      <x:c r="D299" s="34"/>
      <x:c r="E299" s="34"/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 t="str">
        <x:v>Collected</x:v>
      </x:c>
      <x:c r="P299" s="34"/>
      <x:c r="Q299" s="35"/>
      <x:c r="R299" s="35"/>
    </x:row>
    <x:row r="300">
      <x:c r="A300" s="34" t="str">
        <x:f>IF(C300="","","SRC-"&amp;TEXT(ROW()-1,"000"))</x:f>
      </x:c>
      <x:c r="B300" s="35"/>
      <x:c r="C300" s="34"/>
      <x:c r="D300" s="34"/>
      <x:c r="E300" s="34"/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 t="str">
        <x:v>Collected</x:v>
      </x:c>
      <x:c r="P300" s="34"/>
      <x:c r="Q300" s="35"/>
      <x:c r="R300" s="35"/>
    </x:row>
    <x:row r="301">
      <x:c r="A301" s="34" t="str">
        <x:f>IF(C301="","","SRC-"&amp;TEXT(ROW()-1,"000"))</x:f>
      </x:c>
      <x:c r="B301" s="35"/>
      <x:c r="C301" s="34"/>
      <x:c r="D301" s="34"/>
      <x:c r="E301" s="34"/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 t="str">
        <x:v>Collected</x:v>
      </x:c>
      <x:c r="P301" s="34"/>
      <x:c r="Q301" s="35"/>
      <x:c r="R301" s="35"/>
    </x:row>
    <x:row r="302">
      <x:c r="A302" s="34" t="str">
        <x:f>IF(C302="","","SRC-"&amp;TEXT(ROW()-1,"000"))</x:f>
      </x:c>
      <x:c r="B302" s="35"/>
      <x:c r="C302" s="34"/>
      <x:c r="D302" s="34"/>
      <x:c r="E302" s="34"/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 t="str">
        <x:v>Collected</x:v>
      </x:c>
      <x:c r="P302" s="34"/>
      <x:c r="Q302" s="35"/>
      <x:c r="R302" s="35"/>
    </x:row>
    <x:row r="303">
      <x:c r="A303" s="34" t="str">
        <x:f>IF(C303="","","SRC-"&amp;TEXT(ROW()-1,"000"))</x:f>
      </x:c>
      <x:c r="B303" s="35"/>
      <x:c r="C303" s="34"/>
      <x:c r="D303" s="34"/>
      <x:c r="E303" s="34"/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 t="str">
        <x:v>Collected</x:v>
      </x:c>
      <x:c r="P303" s="34"/>
      <x:c r="Q303" s="35"/>
      <x:c r="R303" s="35"/>
    </x:row>
    <x:row r="304">
      <x:c r="A304" s="34" t="str">
        <x:f>IF(C304="","","SRC-"&amp;TEXT(ROW()-1,"000"))</x:f>
      </x:c>
      <x:c r="B304" s="35"/>
      <x:c r="C304" s="34"/>
      <x:c r="D304" s="34"/>
      <x:c r="E304" s="34"/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 t="str">
        <x:v>Collected</x:v>
      </x:c>
      <x:c r="P304" s="34"/>
      <x:c r="Q304" s="35"/>
      <x:c r="R304" s="35"/>
    </x:row>
    <x:row r="305">
      <x:c r="A305" s="34" t="str">
        <x:f>IF(C305="","","SRC-"&amp;TEXT(ROW()-1,"000"))</x:f>
      </x:c>
      <x:c r="B305" s="35"/>
      <x:c r="C305" s="34"/>
      <x:c r="D305" s="34"/>
      <x:c r="E305" s="34"/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 t="str">
        <x:v>Collected</x:v>
      </x:c>
      <x:c r="P305" s="34"/>
      <x:c r="Q305" s="35"/>
      <x:c r="R305" s="35"/>
    </x:row>
    <x:row r="306">
      <x:c r="A306" s="34" t="str">
        <x:f>IF(C306="","","SRC-"&amp;TEXT(ROW()-1,"000"))</x:f>
      </x:c>
      <x:c r="B306" s="35"/>
      <x:c r="C306" s="34"/>
      <x:c r="D306" s="34"/>
      <x:c r="E306" s="34"/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 t="str">
        <x:v>Collected</x:v>
      </x:c>
      <x:c r="P306" s="34"/>
      <x:c r="Q306" s="35"/>
      <x:c r="R306" s="35"/>
    </x:row>
    <x:row r="307">
      <x:c r="A307" s="34" t="str">
        <x:f>IF(C307="","","SRC-"&amp;TEXT(ROW()-1,"000"))</x:f>
      </x:c>
      <x:c r="B307" s="35"/>
      <x:c r="C307" s="34"/>
      <x:c r="D307" s="34"/>
      <x:c r="E307" s="34"/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 t="str">
        <x:v>Collected</x:v>
      </x:c>
      <x:c r="P307" s="34"/>
      <x:c r="Q307" s="35"/>
      <x:c r="R307" s="35"/>
    </x:row>
    <x:row r="308">
      <x:c r="A308" s="34" t="str">
        <x:f>IF(C308="","","SRC-"&amp;TEXT(ROW()-1,"000"))</x:f>
      </x:c>
      <x:c r="B308" s="35"/>
      <x:c r="C308" s="34"/>
      <x:c r="D308" s="34"/>
      <x:c r="E308" s="34"/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 t="str">
        <x:v>Collected</x:v>
      </x:c>
      <x:c r="P308" s="34"/>
      <x:c r="Q308" s="35"/>
      <x:c r="R308" s="35"/>
    </x:row>
    <x:row r="309">
      <x:c r="A309" s="34" t="str">
        <x:f>IF(C309="","","SRC-"&amp;TEXT(ROW()-1,"000"))</x:f>
      </x:c>
      <x:c r="B309" s="35"/>
      <x:c r="C309" s="34"/>
      <x:c r="D309" s="34"/>
      <x:c r="E309" s="34"/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 t="str">
        <x:v>Collected</x:v>
      </x:c>
      <x:c r="P309" s="34"/>
      <x:c r="Q309" s="35"/>
      <x:c r="R309" s="35"/>
    </x:row>
    <x:row r="310">
      <x:c r="A310" s="34" t="str">
        <x:f>IF(C310="","","SRC-"&amp;TEXT(ROW()-1,"000"))</x:f>
      </x:c>
      <x:c r="B310" s="35"/>
      <x:c r="C310" s="34"/>
      <x:c r="D310" s="34"/>
      <x:c r="E310" s="34"/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 t="str">
        <x:v>Collected</x:v>
      </x:c>
      <x:c r="P310" s="34"/>
      <x:c r="Q310" s="35"/>
      <x:c r="R310" s="35"/>
    </x:row>
    <x:row r="311">
      <x:c r="A311" s="34" t="str">
        <x:f>IF(C311="","","SRC-"&amp;TEXT(ROW()-1,"000"))</x:f>
      </x:c>
      <x:c r="B311" s="35"/>
      <x:c r="C311" s="34"/>
      <x:c r="D311" s="34"/>
      <x:c r="E311" s="34"/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 t="str">
        <x:v>Collected</x:v>
      </x:c>
      <x:c r="P311" s="34"/>
      <x:c r="Q311" s="35"/>
      <x:c r="R311" s="35"/>
    </x:row>
    <x:row r="312">
      <x:c r="A312" s="34" t="str">
        <x:f>IF(C312="","","SRC-"&amp;TEXT(ROW()-1,"000"))</x:f>
      </x:c>
      <x:c r="B312" s="35"/>
      <x:c r="C312" s="34"/>
      <x:c r="D312" s="34"/>
      <x:c r="E312" s="34"/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 t="str">
        <x:v>Collected</x:v>
      </x:c>
      <x:c r="P312" s="34"/>
      <x:c r="Q312" s="35"/>
      <x:c r="R312" s="35"/>
    </x:row>
    <x:row r="313">
      <x:c r="A313" s="34" t="str">
        <x:f>IF(C313="","","SRC-"&amp;TEXT(ROW()-1,"000"))</x:f>
      </x:c>
      <x:c r="B313" s="35"/>
      <x:c r="C313" s="34"/>
      <x:c r="D313" s="34"/>
      <x:c r="E313" s="34"/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 t="str">
        <x:v>Collected</x:v>
      </x:c>
      <x:c r="P313" s="34"/>
      <x:c r="Q313" s="35"/>
      <x:c r="R313" s="35"/>
    </x:row>
    <x:row r="314">
      <x:c r="A314" s="34" t="str">
        <x:f>IF(C314="","","SRC-"&amp;TEXT(ROW()-1,"000"))</x:f>
      </x:c>
      <x:c r="B314" s="35"/>
      <x:c r="C314" s="34"/>
      <x:c r="D314" s="34"/>
      <x:c r="E314" s="34"/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 t="str">
        <x:v>Collected</x:v>
      </x:c>
      <x:c r="P314" s="34"/>
      <x:c r="Q314" s="35"/>
      <x:c r="R314" s="35"/>
    </x:row>
    <x:row r="315">
      <x:c r="A315" s="34" t="str">
        <x:f>IF(C315="","","SRC-"&amp;TEXT(ROW()-1,"000"))</x:f>
      </x:c>
      <x:c r="B315" s="35"/>
      <x:c r="C315" s="34"/>
      <x:c r="D315" s="34"/>
      <x:c r="E315" s="34"/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 t="str">
        <x:v>Collected</x:v>
      </x:c>
      <x:c r="P315" s="34"/>
      <x:c r="Q315" s="35"/>
      <x:c r="R315" s="35"/>
    </x:row>
    <x:row r="316">
      <x:c r="A316" s="34" t="str">
        <x:f>IF(C316="","","SRC-"&amp;TEXT(ROW()-1,"000"))</x:f>
      </x:c>
      <x:c r="B316" s="35"/>
      <x:c r="C316" s="34"/>
      <x:c r="D316" s="34"/>
      <x:c r="E316" s="34"/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 t="str">
        <x:v>Collected</x:v>
      </x:c>
      <x:c r="P316" s="34"/>
      <x:c r="Q316" s="35"/>
      <x:c r="R316" s="35"/>
    </x:row>
    <x:row r="317">
      <x:c r="A317" s="34" t="str">
        <x:f>IF(C317="","","SRC-"&amp;TEXT(ROW()-1,"000"))</x:f>
      </x:c>
      <x:c r="B317" s="35"/>
      <x:c r="C317" s="34"/>
      <x:c r="D317" s="34"/>
      <x:c r="E317" s="34"/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 t="str">
        <x:v>Collected</x:v>
      </x:c>
      <x:c r="P317" s="34"/>
      <x:c r="Q317" s="35"/>
      <x:c r="R317" s="35"/>
    </x:row>
    <x:row r="318">
      <x:c r="A318" s="34" t="str">
        <x:f>IF(C318="","","SRC-"&amp;TEXT(ROW()-1,"000"))</x:f>
      </x:c>
      <x:c r="B318" s="35"/>
      <x:c r="C318" s="34"/>
      <x:c r="D318" s="34"/>
      <x:c r="E318" s="34"/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 t="str">
        <x:v>Collected</x:v>
      </x:c>
      <x:c r="P318" s="34"/>
      <x:c r="Q318" s="35"/>
      <x:c r="R318" s="35"/>
    </x:row>
    <x:row r="319">
      <x:c r="A319" s="34" t="str">
        <x:f>IF(C319="","","SRC-"&amp;TEXT(ROW()-1,"000"))</x:f>
      </x:c>
      <x:c r="B319" s="35"/>
      <x:c r="C319" s="34"/>
      <x:c r="D319" s="34"/>
      <x:c r="E319" s="34"/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 t="str">
        <x:v>Collected</x:v>
      </x:c>
      <x:c r="P319" s="34"/>
      <x:c r="Q319" s="35"/>
      <x:c r="R319" s="35"/>
    </x:row>
    <x:row r="320">
      <x:c r="A320" s="34" t="str">
        <x:f>IF(C320="","","SRC-"&amp;TEXT(ROW()-1,"000"))</x:f>
      </x:c>
      <x:c r="B320" s="35"/>
      <x:c r="C320" s="34"/>
      <x:c r="D320" s="34"/>
      <x:c r="E320" s="34"/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 t="str">
        <x:v>Collected</x:v>
      </x:c>
      <x:c r="P320" s="34"/>
      <x:c r="Q320" s="35"/>
      <x:c r="R320" s="35"/>
    </x:row>
    <x:row r="321">
      <x:c r="A321" s="34" t="str">
        <x:f>IF(C321="","","SRC-"&amp;TEXT(ROW()-1,"000"))</x:f>
      </x:c>
      <x:c r="B321" s="35"/>
      <x:c r="C321" s="34"/>
      <x:c r="D321" s="34"/>
      <x:c r="E321" s="34"/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 t="str">
        <x:v>Collected</x:v>
      </x:c>
      <x:c r="P321" s="34"/>
      <x:c r="Q321" s="35"/>
      <x:c r="R321" s="35"/>
    </x:row>
    <x:row r="322">
      <x:c r="A322" s="34" t="str">
        <x:f>IF(C322="","","SRC-"&amp;TEXT(ROW()-1,"000"))</x:f>
      </x:c>
      <x:c r="B322" s="35"/>
      <x:c r="C322" s="34"/>
      <x:c r="D322" s="34"/>
      <x:c r="E322" s="34"/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 t="str">
        <x:v>Collected</x:v>
      </x:c>
      <x:c r="P322" s="34"/>
      <x:c r="Q322" s="35"/>
      <x:c r="R322" s="35"/>
    </x:row>
    <x:row r="323">
      <x:c r="A323" s="34" t="str">
        <x:f>IF(C323="","","SRC-"&amp;TEXT(ROW()-1,"000"))</x:f>
      </x:c>
      <x:c r="B323" s="35"/>
      <x:c r="C323" s="34"/>
      <x:c r="D323" s="34"/>
      <x:c r="E323" s="34"/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 t="str">
        <x:v>Collected</x:v>
      </x:c>
      <x:c r="P323" s="34"/>
      <x:c r="Q323" s="35"/>
      <x:c r="R323" s="35"/>
    </x:row>
    <x:row r="324">
      <x:c r="A324" s="34" t="str">
        <x:f>IF(C324="","","SRC-"&amp;TEXT(ROW()-1,"000"))</x:f>
      </x:c>
      <x:c r="B324" s="35"/>
      <x:c r="C324" s="34"/>
      <x:c r="D324" s="34"/>
      <x:c r="E324" s="34"/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 t="str">
        <x:v>Collected</x:v>
      </x:c>
      <x:c r="P324" s="34"/>
      <x:c r="Q324" s="35"/>
      <x:c r="R324" s="35"/>
    </x:row>
    <x:row r="325">
      <x:c r="A325" s="34" t="str">
        <x:f>IF(C325="","","SRC-"&amp;TEXT(ROW()-1,"000"))</x:f>
      </x:c>
      <x:c r="B325" s="35"/>
      <x:c r="C325" s="34"/>
      <x:c r="D325" s="34"/>
      <x:c r="E325" s="34"/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 t="str">
        <x:v>Collected</x:v>
      </x:c>
      <x:c r="P325" s="34"/>
      <x:c r="Q325" s="35"/>
      <x:c r="R325" s="35"/>
    </x:row>
    <x:row r="326">
      <x:c r="A326" s="34" t="str">
        <x:f>IF(C326="","","SRC-"&amp;TEXT(ROW()-1,"000"))</x:f>
      </x:c>
      <x:c r="B326" s="35"/>
      <x:c r="C326" s="34"/>
      <x:c r="D326" s="34"/>
      <x:c r="E326" s="34"/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 t="str">
        <x:v>Collected</x:v>
      </x:c>
      <x:c r="P326" s="34"/>
      <x:c r="Q326" s="35"/>
      <x:c r="R326" s="35"/>
    </x:row>
    <x:row r="327">
      <x:c r="A327" s="34" t="str">
        <x:f>IF(C327="","","SRC-"&amp;TEXT(ROW()-1,"000"))</x:f>
      </x:c>
      <x:c r="B327" s="35"/>
      <x:c r="C327" s="34"/>
      <x:c r="D327" s="34"/>
      <x:c r="E327" s="34"/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 t="str">
        <x:v>Collected</x:v>
      </x:c>
      <x:c r="P327" s="34"/>
      <x:c r="Q327" s="35"/>
      <x:c r="R327" s="35"/>
    </x:row>
    <x:row r="328">
      <x:c r="A328" s="34" t="str">
        <x:f>IF(C328="","","SRC-"&amp;TEXT(ROW()-1,"000"))</x:f>
      </x:c>
      <x:c r="B328" s="35"/>
      <x:c r="C328" s="34"/>
      <x:c r="D328" s="34"/>
      <x:c r="E328" s="34"/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 t="str">
        <x:v>Collected</x:v>
      </x:c>
      <x:c r="P328" s="34"/>
      <x:c r="Q328" s="35"/>
      <x:c r="R328" s="35"/>
    </x:row>
    <x:row r="329">
      <x:c r="A329" s="34" t="str">
        <x:f>IF(C329="","","SRC-"&amp;TEXT(ROW()-1,"000"))</x:f>
      </x:c>
      <x:c r="B329" s="35"/>
      <x:c r="C329" s="34"/>
      <x:c r="D329" s="34"/>
      <x:c r="E329" s="34"/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 t="str">
        <x:v>Collected</x:v>
      </x:c>
      <x:c r="P329" s="34"/>
      <x:c r="Q329" s="35"/>
      <x:c r="R329" s="35"/>
    </x:row>
    <x:row r="330">
      <x:c r="A330" s="34" t="str">
        <x:f>IF(C330="","","SRC-"&amp;TEXT(ROW()-1,"000"))</x:f>
      </x:c>
      <x:c r="B330" s="35"/>
      <x:c r="C330" s="34"/>
      <x:c r="D330" s="34"/>
      <x:c r="E330" s="34"/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 t="str">
        <x:v>Collected</x:v>
      </x:c>
      <x:c r="P330" s="34"/>
      <x:c r="Q330" s="35"/>
      <x:c r="R330" s="35"/>
    </x:row>
    <x:row r="331">
      <x:c r="A331" s="34" t="str">
        <x:f>IF(C331="","","SRC-"&amp;TEXT(ROW()-1,"000"))</x:f>
      </x:c>
      <x:c r="B331" s="35"/>
      <x:c r="C331" s="34"/>
      <x:c r="D331" s="34"/>
      <x:c r="E331" s="34"/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 t="str">
        <x:v>Collected</x:v>
      </x:c>
      <x:c r="P331" s="34"/>
      <x:c r="Q331" s="35"/>
      <x:c r="R331" s="35"/>
    </x:row>
    <x:row r="332">
      <x:c r="A332" s="34" t="str">
        <x:f>IF(C332="","","SRC-"&amp;TEXT(ROW()-1,"000"))</x:f>
      </x:c>
      <x:c r="B332" s="35"/>
      <x:c r="C332" s="34"/>
      <x:c r="D332" s="34"/>
      <x:c r="E332" s="34"/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 t="str">
        <x:v>Collected</x:v>
      </x:c>
      <x:c r="P332" s="34"/>
      <x:c r="Q332" s="35"/>
      <x:c r="R332" s="35"/>
    </x:row>
    <x:row r="333">
      <x:c r="A333" s="34" t="str">
        <x:f>IF(C333="","","SRC-"&amp;TEXT(ROW()-1,"000"))</x:f>
      </x:c>
      <x:c r="B333" s="35"/>
      <x:c r="C333" s="34"/>
      <x:c r="D333" s="34"/>
      <x:c r="E333" s="34"/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 t="str">
        <x:v>Collected</x:v>
      </x:c>
      <x:c r="P333" s="34"/>
      <x:c r="Q333" s="35"/>
      <x:c r="R333" s="35"/>
    </x:row>
    <x:row r="334">
      <x:c r="A334" s="34" t="str">
        <x:f>IF(C334="","","SRC-"&amp;TEXT(ROW()-1,"000"))</x:f>
      </x:c>
      <x:c r="B334" s="35"/>
      <x:c r="C334" s="34"/>
      <x:c r="D334" s="34"/>
      <x:c r="E334" s="34"/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 t="str">
        <x:v>Collected</x:v>
      </x:c>
      <x:c r="P334" s="34"/>
      <x:c r="Q334" s="35"/>
      <x:c r="R334" s="35"/>
    </x:row>
    <x:row r="335">
      <x:c r="A335" s="34" t="str">
        <x:f>IF(C335="","","SRC-"&amp;TEXT(ROW()-1,"000"))</x:f>
      </x:c>
      <x:c r="B335" s="35"/>
      <x:c r="C335" s="34"/>
      <x:c r="D335" s="34"/>
      <x:c r="E335" s="34"/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 t="str">
        <x:v>Collected</x:v>
      </x:c>
      <x:c r="P335" s="34"/>
      <x:c r="Q335" s="35"/>
      <x:c r="R335" s="35"/>
    </x:row>
    <x:row r="336">
      <x:c r="A336" s="34" t="str">
        <x:f>IF(C336="","","SRC-"&amp;TEXT(ROW()-1,"000"))</x:f>
      </x:c>
      <x:c r="B336" s="35"/>
      <x:c r="C336" s="34"/>
      <x:c r="D336" s="34"/>
      <x:c r="E336" s="34"/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 t="str">
        <x:v>Collected</x:v>
      </x:c>
      <x:c r="P336" s="34"/>
      <x:c r="Q336" s="35"/>
      <x:c r="R336" s="35"/>
    </x:row>
    <x:row r="337">
      <x:c r="A337" s="34" t="str">
        <x:f>IF(C337="","","SRC-"&amp;TEXT(ROW()-1,"000"))</x:f>
      </x:c>
      <x:c r="B337" s="35"/>
      <x:c r="C337" s="34"/>
      <x:c r="D337" s="34"/>
      <x:c r="E337" s="34"/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 t="str">
        <x:v>Collected</x:v>
      </x:c>
      <x:c r="P337" s="34"/>
      <x:c r="Q337" s="35"/>
      <x:c r="R337" s="35"/>
    </x:row>
    <x:row r="338">
      <x:c r="A338" s="34" t="str">
        <x:f>IF(C338="","","SRC-"&amp;TEXT(ROW()-1,"000"))</x:f>
      </x:c>
      <x:c r="B338" s="35"/>
      <x:c r="C338" s="34"/>
      <x:c r="D338" s="34"/>
      <x:c r="E338" s="34"/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 t="str">
        <x:v>Collected</x:v>
      </x:c>
      <x:c r="P338" s="34"/>
      <x:c r="Q338" s="35"/>
      <x:c r="R338" s="35"/>
    </x:row>
    <x:row r="339">
      <x:c r="A339" s="34" t="str">
        <x:f>IF(C339="","","SRC-"&amp;TEXT(ROW()-1,"000"))</x:f>
      </x:c>
      <x:c r="B339" s="35"/>
      <x:c r="C339" s="34"/>
      <x:c r="D339" s="34"/>
      <x:c r="E339" s="34"/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 t="str">
        <x:v>Collected</x:v>
      </x:c>
      <x:c r="P339" s="34"/>
      <x:c r="Q339" s="35"/>
      <x:c r="R339" s="35"/>
    </x:row>
    <x:row r="340">
      <x:c r="A340" s="34" t="str">
        <x:f>IF(C340="","","SRC-"&amp;TEXT(ROW()-1,"000"))</x:f>
      </x:c>
      <x:c r="B340" s="35"/>
      <x:c r="C340" s="34"/>
      <x:c r="D340" s="34"/>
      <x:c r="E340" s="34"/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 t="str">
        <x:v>Collected</x:v>
      </x:c>
      <x:c r="P340" s="34"/>
      <x:c r="Q340" s="35"/>
      <x:c r="R340" s="35"/>
    </x:row>
    <x:row r="341">
      <x:c r="A341" s="34" t="str">
        <x:f>IF(C341="","","SRC-"&amp;TEXT(ROW()-1,"000"))</x:f>
      </x:c>
      <x:c r="B341" s="35"/>
      <x:c r="C341" s="34"/>
      <x:c r="D341" s="34"/>
      <x:c r="E341" s="34"/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 t="str">
        <x:v>Collected</x:v>
      </x:c>
      <x:c r="P341" s="34"/>
      <x:c r="Q341" s="35"/>
      <x:c r="R341" s="35"/>
    </x:row>
    <x:row r="342">
      <x:c r="A342" s="34" t="str">
        <x:f>IF(C342="","","SRC-"&amp;TEXT(ROW()-1,"000"))</x:f>
      </x:c>
      <x:c r="B342" s="35"/>
      <x:c r="C342" s="34"/>
      <x:c r="D342" s="34"/>
      <x:c r="E342" s="34"/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 t="str">
        <x:v>Collected</x:v>
      </x:c>
      <x:c r="P342" s="34"/>
      <x:c r="Q342" s="35"/>
      <x:c r="R342" s="35"/>
    </x:row>
    <x:row r="343">
      <x:c r="A343" s="34" t="str">
        <x:f>IF(C343="","","SRC-"&amp;TEXT(ROW()-1,"000"))</x:f>
      </x:c>
      <x:c r="B343" s="35"/>
      <x:c r="C343" s="34"/>
      <x:c r="D343" s="34"/>
      <x:c r="E343" s="34"/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 t="str">
        <x:v>Collected</x:v>
      </x:c>
      <x:c r="P343" s="34"/>
      <x:c r="Q343" s="35"/>
      <x:c r="R343" s="35"/>
    </x:row>
    <x:row r="344">
      <x:c r="A344" s="34" t="str">
        <x:f>IF(C344="","","SRC-"&amp;TEXT(ROW()-1,"000"))</x:f>
      </x:c>
      <x:c r="B344" s="35"/>
      <x:c r="C344" s="34"/>
      <x:c r="D344" s="34"/>
      <x:c r="E344" s="34"/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 t="str">
        <x:v>Collected</x:v>
      </x:c>
      <x:c r="P344" s="34"/>
      <x:c r="Q344" s="35"/>
      <x:c r="R344" s="35"/>
    </x:row>
    <x:row r="345">
      <x:c r="A345" s="34" t="str">
        <x:f>IF(C345="","","SRC-"&amp;TEXT(ROW()-1,"000"))</x:f>
      </x:c>
      <x:c r="B345" s="35"/>
      <x:c r="C345" s="34"/>
      <x:c r="D345" s="34"/>
      <x:c r="E345" s="34"/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 t="str">
        <x:v>Collected</x:v>
      </x:c>
      <x:c r="P345" s="34"/>
      <x:c r="Q345" s="35"/>
      <x:c r="R345" s="35"/>
    </x:row>
    <x:row r="346">
      <x:c r="A346" s="34" t="str">
        <x:f>IF(C346="","","SRC-"&amp;TEXT(ROW()-1,"000"))</x:f>
      </x:c>
      <x:c r="B346" s="35"/>
      <x:c r="C346" s="34"/>
      <x:c r="D346" s="34"/>
      <x:c r="E346" s="34"/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 t="str">
        <x:v>Collected</x:v>
      </x:c>
      <x:c r="P346" s="34"/>
      <x:c r="Q346" s="35"/>
      <x:c r="R346" s="35"/>
    </x:row>
    <x:row r="347">
      <x:c r="A347" s="34" t="str">
        <x:f>IF(C347="","","SRC-"&amp;TEXT(ROW()-1,"000"))</x:f>
      </x:c>
      <x:c r="B347" s="35"/>
      <x:c r="C347" s="34"/>
      <x:c r="D347" s="34"/>
      <x:c r="E347" s="34"/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 t="str">
        <x:v>Collected</x:v>
      </x:c>
      <x:c r="P347" s="34"/>
      <x:c r="Q347" s="35"/>
      <x:c r="R347" s="35"/>
    </x:row>
    <x:row r="348">
      <x:c r="A348" s="34" t="str">
        <x:f>IF(C348="","","SRC-"&amp;TEXT(ROW()-1,"000"))</x:f>
      </x:c>
      <x:c r="B348" s="35"/>
      <x:c r="C348" s="34"/>
      <x:c r="D348" s="34"/>
      <x:c r="E348" s="34"/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 t="str">
        <x:v>Collected</x:v>
      </x:c>
      <x:c r="P348" s="34"/>
      <x:c r="Q348" s="35"/>
      <x:c r="R348" s="35"/>
    </x:row>
    <x:row r="349">
      <x:c r="A349" s="34" t="str">
        <x:f>IF(C349="","","SRC-"&amp;TEXT(ROW()-1,"000"))</x:f>
      </x:c>
      <x:c r="B349" s="35"/>
      <x:c r="C349" s="34"/>
      <x:c r="D349" s="34"/>
      <x:c r="E349" s="34"/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 t="str">
        <x:v>Collected</x:v>
      </x:c>
      <x:c r="P349" s="34"/>
      <x:c r="Q349" s="35"/>
      <x:c r="R349" s="35"/>
    </x:row>
    <x:row r="350">
      <x:c r="A350" s="34" t="str">
        <x:f>IF(C350="","","SRC-"&amp;TEXT(ROW()-1,"000"))</x:f>
      </x:c>
      <x:c r="B350" s="35"/>
      <x:c r="C350" s="34"/>
      <x:c r="D350" s="34"/>
      <x:c r="E350" s="34"/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 t="str">
        <x:v>Collected</x:v>
      </x:c>
      <x:c r="P350" s="34"/>
      <x:c r="Q350" s="35"/>
      <x:c r="R350" s="35"/>
    </x:row>
    <x:row r="351">
      <x:c r="A351" s="34" t="str">
        <x:f>IF(C351="","","SRC-"&amp;TEXT(ROW()-1,"000"))</x:f>
      </x:c>
      <x:c r="B351" s="35"/>
      <x:c r="C351" s="34"/>
      <x:c r="D351" s="34"/>
      <x:c r="E351" s="34"/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 t="str">
        <x:v>Collected</x:v>
      </x:c>
      <x:c r="P351" s="34"/>
      <x:c r="Q351" s="35"/>
      <x:c r="R351" s="35"/>
    </x:row>
    <x:row r="352">
      <x:c r="A352" s="34" t="str">
        <x:f>IF(C352="","","SRC-"&amp;TEXT(ROW()-1,"000"))</x:f>
      </x:c>
      <x:c r="B352" s="35"/>
      <x:c r="C352" s="34"/>
      <x:c r="D352" s="34"/>
      <x:c r="E352" s="34"/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 t="str">
        <x:v>Collected</x:v>
      </x:c>
      <x:c r="P352" s="34"/>
      <x:c r="Q352" s="35"/>
      <x:c r="R352" s="35"/>
    </x:row>
    <x:row r="353">
      <x:c r="A353" s="34" t="str">
        <x:f>IF(C353="","","SRC-"&amp;TEXT(ROW()-1,"000"))</x:f>
      </x:c>
      <x:c r="B353" s="35"/>
      <x:c r="C353" s="34"/>
      <x:c r="D353" s="34"/>
      <x:c r="E353" s="34"/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 t="str">
        <x:v>Collected</x:v>
      </x:c>
      <x:c r="P353" s="34"/>
      <x:c r="Q353" s="35"/>
      <x:c r="R353" s="35"/>
    </x:row>
    <x:row r="354">
      <x:c r="A354" s="34" t="str">
        <x:f>IF(C354="","","SRC-"&amp;TEXT(ROW()-1,"000"))</x:f>
      </x:c>
      <x:c r="B354" s="35"/>
      <x:c r="C354" s="34"/>
      <x:c r="D354" s="34"/>
      <x:c r="E354" s="34"/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 t="str">
        <x:v>Collected</x:v>
      </x:c>
      <x:c r="P354" s="34"/>
      <x:c r="Q354" s="35"/>
      <x:c r="R354" s="35"/>
    </x:row>
    <x:row r="355">
      <x:c r="A355" s="34" t="str">
        <x:f>IF(C355="","","SRC-"&amp;TEXT(ROW()-1,"000"))</x:f>
      </x:c>
      <x:c r="B355" s="35"/>
      <x:c r="C355" s="34"/>
      <x:c r="D355" s="34"/>
      <x:c r="E355" s="34"/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 t="str">
        <x:v>Collected</x:v>
      </x:c>
      <x:c r="P355" s="34"/>
      <x:c r="Q355" s="35"/>
      <x:c r="R355" s="35"/>
    </x:row>
    <x:row r="356">
      <x:c r="A356" s="34" t="str">
        <x:f>IF(C356="","","SRC-"&amp;TEXT(ROW()-1,"000"))</x:f>
      </x:c>
      <x:c r="B356" s="35"/>
      <x:c r="C356" s="34"/>
      <x:c r="D356" s="34"/>
      <x:c r="E356" s="34"/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 t="str">
        <x:v>Collected</x:v>
      </x:c>
      <x:c r="P356" s="34"/>
      <x:c r="Q356" s="35"/>
      <x:c r="R356" s="35"/>
    </x:row>
    <x:row r="357">
      <x:c r="A357" s="34" t="str">
        <x:f>IF(C357="","","SRC-"&amp;TEXT(ROW()-1,"000"))</x:f>
      </x:c>
      <x:c r="B357" s="35"/>
      <x:c r="C357" s="34"/>
      <x:c r="D357" s="34"/>
      <x:c r="E357" s="34"/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 t="str">
        <x:v>Collected</x:v>
      </x:c>
      <x:c r="P357" s="34"/>
      <x:c r="Q357" s="35"/>
      <x:c r="R357" s="35"/>
    </x:row>
    <x:row r="358">
      <x:c r="A358" s="34" t="str">
        <x:f>IF(C358="","","SRC-"&amp;TEXT(ROW()-1,"000"))</x:f>
      </x:c>
      <x:c r="B358" s="35"/>
      <x:c r="C358" s="34"/>
      <x:c r="D358" s="34"/>
      <x:c r="E358" s="34"/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 t="str">
        <x:v>Collected</x:v>
      </x:c>
      <x:c r="P358" s="34"/>
      <x:c r="Q358" s="35"/>
      <x:c r="R358" s="35"/>
    </x:row>
    <x:row r="359">
      <x:c r="A359" s="34" t="str">
        <x:f>IF(C359="","","SRC-"&amp;TEXT(ROW()-1,"000"))</x:f>
      </x:c>
      <x:c r="B359" s="35"/>
      <x:c r="C359" s="34"/>
      <x:c r="D359" s="34"/>
      <x:c r="E359" s="34"/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 t="str">
        <x:v>Collected</x:v>
      </x:c>
      <x:c r="P359" s="34"/>
      <x:c r="Q359" s="35"/>
      <x:c r="R359" s="35"/>
    </x:row>
    <x:row r="360">
      <x:c r="A360" s="34" t="str">
        <x:f>IF(C360="","","SRC-"&amp;TEXT(ROW()-1,"000"))</x:f>
      </x:c>
      <x:c r="B360" s="35"/>
      <x:c r="C360" s="34"/>
      <x:c r="D360" s="34"/>
      <x:c r="E360" s="34"/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 t="str">
        <x:v>Collected</x:v>
      </x:c>
      <x:c r="P360" s="34"/>
      <x:c r="Q360" s="35"/>
      <x:c r="R360" s="35"/>
    </x:row>
    <x:row r="361">
      <x:c r="A361" s="34" t="str">
        <x:f>IF(C361="","","SRC-"&amp;TEXT(ROW()-1,"000"))</x:f>
      </x:c>
      <x:c r="B361" s="35"/>
      <x:c r="C361" s="34"/>
      <x:c r="D361" s="34"/>
      <x:c r="E361" s="34"/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 t="str">
        <x:v>Collected</x:v>
      </x:c>
      <x:c r="P361" s="34"/>
      <x:c r="Q361" s="35"/>
      <x:c r="R361" s="35"/>
    </x:row>
    <x:row r="362">
      <x:c r="A362" s="34" t="str">
        <x:f>IF(C362="","","SRC-"&amp;TEXT(ROW()-1,"000"))</x:f>
      </x:c>
      <x:c r="B362" s="35"/>
      <x:c r="C362" s="34"/>
      <x:c r="D362" s="34"/>
      <x:c r="E362" s="34"/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 t="str">
        <x:v>Collected</x:v>
      </x:c>
      <x:c r="P362" s="34"/>
      <x:c r="Q362" s="35"/>
      <x:c r="R362" s="35"/>
    </x:row>
    <x:row r="363">
      <x:c r="A363" s="34" t="str">
        <x:f>IF(C363="","","SRC-"&amp;TEXT(ROW()-1,"000"))</x:f>
      </x:c>
      <x:c r="B363" s="35"/>
      <x:c r="C363" s="34"/>
      <x:c r="D363" s="34"/>
      <x:c r="E363" s="34"/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 t="str">
        <x:v>Collected</x:v>
      </x:c>
      <x:c r="P363" s="34"/>
      <x:c r="Q363" s="35"/>
      <x:c r="R363" s="35"/>
    </x:row>
    <x:row r="364">
      <x:c r="A364" s="34" t="str">
        <x:f>IF(C364="","","SRC-"&amp;TEXT(ROW()-1,"000"))</x:f>
      </x:c>
      <x:c r="B364" s="35"/>
      <x:c r="C364" s="34"/>
      <x:c r="D364" s="34"/>
      <x:c r="E364" s="34"/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 t="str">
        <x:v>Collected</x:v>
      </x:c>
      <x:c r="P364" s="34"/>
      <x:c r="Q364" s="35"/>
      <x:c r="R364" s="35"/>
    </x:row>
    <x:row r="365">
      <x:c r="A365" s="34" t="str">
        <x:f>IF(C365="","","SRC-"&amp;TEXT(ROW()-1,"000"))</x:f>
      </x:c>
      <x:c r="B365" s="35"/>
      <x:c r="C365" s="34"/>
      <x:c r="D365" s="34"/>
      <x:c r="E365" s="34"/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 t="str">
        <x:v>Collected</x:v>
      </x:c>
      <x:c r="P365" s="34"/>
      <x:c r="Q365" s="35"/>
      <x:c r="R365" s="35"/>
    </x:row>
    <x:row r="366">
      <x:c r="A366" s="34" t="str">
        <x:f>IF(C366="","","SRC-"&amp;TEXT(ROW()-1,"000"))</x:f>
      </x:c>
      <x:c r="B366" s="35"/>
      <x:c r="C366" s="34"/>
      <x:c r="D366" s="34"/>
      <x:c r="E366" s="34"/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 t="str">
        <x:v>Collected</x:v>
      </x:c>
      <x:c r="P366" s="34"/>
      <x:c r="Q366" s="35"/>
      <x:c r="R366" s="35"/>
    </x:row>
    <x:row r="367">
      <x:c r="A367" s="34" t="str">
        <x:f>IF(C367="","","SRC-"&amp;TEXT(ROW()-1,"000"))</x:f>
      </x:c>
      <x:c r="B367" s="35"/>
      <x:c r="C367" s="34"/>
      <x:c r="D367" s="34"/>
      <x:c r="E367" s="34"/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 t="str">
        <x:v>Collected</x:v>
      </x:c>
      <x:c r="P367" s="34"/>
      <x:c r="Q367" s="35"/>
      <x:c r="R367" s="35"/>
    </x:row>
    <x:row r="368">
      <x:c r="A368" s="34" t="str">
        <x:f>IF(C368="","","SRC-"&amp;TEXT(ROW()-1,"000"))</x:f>
      </x:c>
      <x:c r="B368" s="35"/>
      <x:c r="C368" s="34"/>
      <x:c r="D368" s="34"/>
      <x:c r="E368" s="34"/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 t="str">
        <x:v>Collected</x:v>
      </x:c>
      <x:c r="P368" s="34"/>
      <x:c r="Q368" s="35"/>
      <x:c r="R368" s="35"/>
    </x:row>
    <x:row r="369">
      <x:c r="A369" s="34" t="str">
        <x:f>IF(C369="","","SRC-"&amp;TEXT(ROW()-1,"000"))</x:f>
      </x:c>
      <x:c r="B369" s="35"/>
      <x:c r="C369" s="34"/>
      <x:c r="D369" s="34"/>
      <x:c r="E369" s="34"/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 t="str">
        <x:v>Collected</x:v>
      </x:c>
      <x:c r="P369" s="34"/>
      <x:c r="Q369" s="35"/>
      <x:c r="R369" s="35"/>
    </x:row>
    <x:row r="370">
      <x:c r="A370" s="34" t="str">
        <x:f>IF(C370="","","SRC-"&amp;TEXT(ROW()-1,"000"))</x:f>
      </x:c>
      <x:c r="B370" s="35"/>
      <x:c r="C370" s="34"/>
      <x:c r="D370" s="34"/>
      <x:c r="E370" s="34"/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 t="str">
        <x:v>Collected</x:v>
      </x:c>
      <x:c r="P370" s="34"/>
      <x:c r="Q370" s="35"/>
      <x:c r="R370" s="35"/>
    </x:row>
    <x:row r="371">
      <x:c r="A371" s="34" t="str">
        <x:f>IF(C371="","","SRC-"&amp;TEXT(ROW()-1,"000"))</x:f>
      </x:c>
      <x:c r="B371" s="35"/>
      <x:c r="C371" s="34"/>
      <x:c r="D371" s="34"/>
      <x:c r="E371" s="34"/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 t="str">
        <x:v>Collected</x:v>
      </x:c>
      <x:c r="P371" s="34"/>
      <x:c r="Q371" s="35"/>
      <x:c r="R371" s="35"/>
    </x:row>
    <x:row r="372">
      <x:c r="A372" s="34" t="str">
        <x:f>IF(C372="","","SRC-"&amp;TEXT(ROW()-1,"000"))</x:f>
      </x:c>
      <x:c r="B372" s="35"/>
      <x:c r="C372" s="34"/>
      <x:c r="D372" s="34"/>
      <x:c r="E372" s="34"/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 t="str">
        <x:v>Collected</x:v>
      </x:c>
      <x:c r="P372" s="34"/>
      <x:c r="Q372" s="35"/>
      <x:c r="R372" s="35"/>
    </x:row>
    <x:row r="373">
      <x:c r="A373" s="34" t="str">
        <x:f>IF(C373="","","SRC-"&amp;TEXT(ROW()-1,"000"))</x:f>
      </x:c>
      <x:c r="B373" s="35"/>
      <x:c r="C373" s="34"/>
      <x:c r="D373" s="34"/>
      <x:c r="E373" s="34"/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 t="str">
        <x:v>Collected</x:v>
      </x:c>
      <x:c r="P373" s="34"/>
      <x:c r="Q373" s="35"/>
      <x:c r="R373" s="35"/>
    </x:row>
    <x:row r="374">
      <x:c r="A374" s="34" t="str">
        <x:f>IF(C374="","","SRC-"&amp;TEXT(ROW()-1,"000"))</x:f>
      </x:c>
      <x:c r="B374" s="35"/>
      <x:c r="C374" s="34"/>
      <x:c r="D374" s="34"/>
      <x:c r="E374" s="34"/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 t="str">
        <x:v>Collected</x:v>
      </x:c>
      <x:c r="P374" s="34"/>
      <x:c r="Q374" s="35"/>
      <x:c r="R374" s="35"/>
    </x:row>
    <x:row r="375">
      <x:c r="A375" s="34" t="str">
        <x:f>IF(C375="","","SRC-"&amp;TEXT(ROW()-1,"000"))</x:f>
      </x:c>
      <x:c r="B375" s="35"/>
      <x:c r="C375" s="34"/>
      <x:c r="D375" s="34"/>
      <x:c r="E375" s="34"/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 t="str">
        <x:v>Collected</x:v>
      </x:c>
      <x:c r="P375" s="34"/>
      <x:c r="Q375" s="35"/>
      <x:c r="R375" s="35"/>
    </x:row>
    <x:row r="376">
      <x:c r="A376" s="34" t="str">
        <x:f>IF(C376="","","SRC-"&amp;TEXT(ROW()-1,"000"))</x:f>
      </x:c>
      <x:c r="B376" s="35"/>
      <x:c r="C376" s="34"/>
      <x:c r="D376" s="34"/>
      <x:c r="E376" s="34"/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 t="str">
        <x:v>Collected</x:v>
      </x:c>
      <x:c r="P376" s="34"/>
      <x:c r="Q376" s="35"/>
      <x:c r="R376" s="35"/>
    </x:row>
    <x:row r="377">
      <x:c r="A377" s="34" t="str">
        <x:f>IF(C377="","","SRC-"&amp;TEXT(ROW()-1,"000"))</x:f>
      </x:c>
      <x:c r="B377" s="35"/>
      <x:c r="C377" s="34"/>
      <x:c r="D377" s="34"/>
      <x:c r="E377" s="34"/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 t="str">
        <x:v>Collected</x:v>
      </x:c>
      <x:c r="P377" s="34"/>
      <x:c r="Q377" s="35"/>
      <x:c r="R377" s="35"/>
    </x:row>
    <x:row r="378">
      <x:c r="A378" s="34" t="str">
        <x:f>IF(C378="","","SRC-"&amp;TEXT(ROW()-1,"000"))</x:f>
      </x:c>
      <x:c r="B378" s="35"/>
      <x:c r="C378" s="34"/>
      <x:c r="D378" s="34"/>
      <x:c r="E378" s="34"/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 t="str">
        <x:v>Collected</x:v>
      </x:c>
      <x:c r="P378" s="34"/>
      <x:c r="Q378" s="35"/>
      <x:c r="R378" s="35"/>
    </x:row>
    <x:row r="379">
      <x:c r="A379" s="34" t="str">
        <x:f>IF(C379="","","SRC-"&amp;TEXT(ROW()-1,"000"))</x:f>
      </x:c>
      <x:c r="B379" s="35"/>
      <x:c r="C379" s="34"/>
      <x:c r="D379" s="34"/>
      <x:c r="E379" s="34"/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 t="str">
        <x:v>Collected</x:v>
      </x:c>
      <x:c r="P379" s="34"/>
      <x:c r="Q379" s="35"/>
      <x:c r="R379" s="35"/>
    </x:row>
    <x:row r="380">
      <x:c r="A380" s="34" t="str">
        <x:f>IF(C380="","","SRC-"&amp;TEXT(ROW()-1,"000"))</x:f>
      </x:c>
      <x:c r="B380" s="35"/>
      <x:c r="C380" s="34"/>
      <x:c r="D380" s="34"/>
      <x:c r="E380" s="34"/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 t="str">
        <x:v>Collected</x:v>
      </x:c>
      <x:c r="P380" s="34"/>
      <x:c r="Q380" s="35"/>
      <x:c r="R380" s="35"/>
    </x:row>
    <x:row r="381">
      <x:c r="A381" s="34" t="str">
        <x:f>IF(C381="","","SRC-"&amp;TEXT(ROW()-1,"000"))</x:f>
      </x:c>
      <x:c r="B381" s="35"/>
      <x:c r="C381" s="34"/>
      <x:c r="D381" s="34"/>
      <x:c r="E381" s="34"/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 t="str">
        <x:v>Collected</x:v>
      </x:c>
      <x:c r="P381" s="34"/>
      <x:c r="Q381" s="35"/>
      <x:c r="R381" s="35"/>
    </x:row>
    <x:row r="382">
      <x:c r="A382" s="34" t="str">
        <x:f>IF(C382="","","SRC-"&amp;TEXT(ROW()-1,"000"))</x:f>
      </x:c>
      <x:c r="B382" s="35"/>
      <x:c r="C382" s="34"/>
      <x:c r="D382" s="34"/>
      <x:c r="E382" s="34"/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 t="str">
        <x:v>Collected</x:v>
      </x:c>
      <x:c r="P382" s="34"/>
      <x:c r="Q382" s="35"/>
      <x:c r="R382" s="35"/>
    </x:row>
    <x:row r="383">
      <x:c r="A383" s="34" t="str">
        <x:f>IF(C383="","","SRC-"&amp;TEXT(ROW()-1,"000"))</x:f>
      </x:c>
      <x:c r="B383" s="35"/>
      <x:c r="C383" s="34"/>
      <x:c r="D383" s="34"/>
      <x:c r="E383" s="34"/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 t="str">
        <x:v>Collected</x:v>
      </x:c>
      <x:c r="P383" s="34"/>
      <x:c r="Q383" s="35"/>
      <x:c r="R383" s="35"/>
    </x:row>
    <x:row r="384">
      <x:c r="A384" s="34" t="str">
        <x:f>IF(C384="","","SRC-"&amp;TEXT(ROW()-1,"000"))</x:f>
      </x:c>
      <x:c r="B384" s="35"/>
      <x:c r="C384" s="34"/>
      <x:c r="D384" s="34"/>
      <x:c r="E384" s="34"/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 t="str">
        <x:v>Collected</x:v>
      </x:c>
      <x:c r="P384" s="34"/>
      <x:c r="Q384" s="35"/>
      <x:c r="R384" s="35"/>
    </x:row>
    <x:row r="385">
      <x:c r="A385" s="34" t="str">
        <x:f>IF(C385="","","SRC-"&amp;TEXT(ROW()-1,"000"))</x:f>
      </x:c>
      <x:c r="B385" s="35"/>
      <x:c r="C385" s="34"/>
      <x:c r="D385" s="34"/>
      <x:c r="E385" s="34"/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 t="str">
        <x:v>Collected</x:v>
      </x:c>
      <x:c r="P385" s="34"/>
      <x:c r="Q385" s="35"/>
      <x:c r="R385" s="35"/>
    </x:row>
    <x:row r="386">
      <x:c r="A386" s="34" t="str">
        <x:f>IF(C386="","","SRC-"&amp;TEXT(ROW()-1,"000"))</x:f>
      </x:c>
      <x:c r="B386" s="35"/>
      <x:c r="C386" s="34"/>
      <x:c r="D386" s="34"/>
      <x:c r="E386" s="34"/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 t="str">
        <x:v>Collected</x:v>
      </x:c>
      <x:c r="P386" s="34"/>
      <x:c r="Q386" s="35"/>
      <x:c r="R386" s="35"/>
    </x:row>
    <x:row r="387">
      <x:c r="A387" s="34" t="str">
        <x:f>IF(C387="","","SRC-"&amp;TEXT(ROW()-1,"000"))</x:f>
      </x:c>
      <x:c r="B387" s="35"/>
      <x:c r="C387" s="34"/>
      <x:c r="D387" s="34"/>
      <x:c r="E387" s="34"/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 t="str">
        <x:v>Collected</x:v>
      </x:c>
      <x:c r="P387" s="34"/>
      <x:c r="Q387" s="35"/>
      <x:c r="R387" s="35"/>
    </x:row>
    <x:row r="388">
      <x:c r="A388" s="34" t="str">
        <x:f>IF(C388="","","SRC-"&amp;TEXT(ROW()-1,"000"))</x:f>
      </x:c>
      <x:c r="B388" s="35"/>
      <x:c r="C388" s="34"/>
      <x:c r="D388" s="34"/>
      <x:c r="E388" s="34"/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 t="str">
        <x:v>Collected</x:v>
      </x:c>
      <x:c r="P388" s="34"/>
      <x:c r="Q388" s="35"/>
      <x:c r="R388" s="35"/>
    </x:row>
    <x:row r="389">
      <x:c r="A389" s="34" t="str">
        <x:f>IF(C389="","","SRC-"&amp;TEXT(ROW()-1,"000"))</x:f>
      </x:c>
      <x:c r="B389" s="35"/>
      <x:c r="C389" s="34"/>
      <x:c r="D389" s="34"/>
      <x:c r="E389" s="34"/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 t="str">
        <x:v>Collected</x:v>
      </x:c>
      <x:c r="P389" s="34"/>
      <x:c r="Q389" s="35"/>
      <x:c r="R389" s="35"/>
    </x:row>
    <x:row r="390">
      <x:c r="A390" s="34" t="str">
        <x:f>IF(C390="","","SRC-"&amp;TEXT(ROW()-1,"000"))</x:f>
      </x:c>
      <x:c r="B390" s="35"/>
      <x:c r="C390" s="34"/>
      <x:c r="D390" s="34"/>
      <x:c r="E390" s="34"/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 t="str">
        <x:v>Collected</x:v>
      </x:c>
      <x:c r="P390" s="34"/>
      <x:c r="Q390" s="35"/>
      <x:c r="R390" s="35"/>
    </x:row>
    <x:row r="391">
      <x:c r="A391" s="34" t="str">
        <x:f>IF(C391="","","SRC-"&amp;TEXT(ROW()-1,"000"))</x:f>
      </x:c>
      <x:c r="B391" s="35"/>
      <x:c r="C391" s="34"/>
      <x:c r="D391" s="34"/>
      <x:c r="E391" s="34"/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 t="str">
        <x:v>Collected</x:v>
      </x:c>
      <x:c r="P391" s="34"/>
      <x:c r="Q391" s="35"/>
      <x:c r="R391" s="35"/>
    </x:row>
    <x:row r="392">
      <x:c r="A392" s="34" t="str">
        <x:f>IF(C392="","","SRC-"&amp;TEXT(ROW()-1,"000"))</x:f>
      </x:c>
      <x:c r="B392" s="35"/>
      <x:c r="C392" s="34"/>
      <x:c r="D392" s="34"/>
      <x:c r="E392" s="34"/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 t="str">
        <x:v>Collected</x:v>
      </x:c>
      <x:c r="P392" s="34"/>
      <x:c r="Q392" s="35"/>
      <x:c r="R392" s="35"/>
    </x:row>
    <x:row r="393">
      <x:c r="A393" s="34" t="str">
        <x:f>IF(C393="","","SRC-"&amp;TEXT(ROW()-1,"000"))</x:f>
      </x:c>
      <x:c r="B393" s="35"/>
      <x:c r="C393" s="34"/>
      <x:c r="D393" s="34"/>
      <x:c r="E393" s="34"/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 t="str">
        <x:v>Collected</x:v>
      </x:c>
      <x:c r="P393" s="34"/>
      <x:c r="Q393" s="35"/>
      <x:c r="R393" s="35"/>
    </x:row>
    <x:row r="394">
      <x:c r="A394" s="34" t="str">
        <x:f>IF(C394="","","SRC-"&amp;TEXT(ROW()-1,"000"))</x:f>
      </x:c>
      <x:c r="B394" s="35"/>
      <x:c r="C394" s="34"/>
      <x:c r="D394" s="34"/>
      <x:c r="E394" s="34"/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 t="str">
        <x:v>Collected</x:v>
      </x:c>
      <x:c r="P394" s="34"/>
      <x:c r="Q394" s="35"/>
      <x:c r="R394" s="35"/>
    </x:row>
    <x:row r="395">
      <x:c r="A395" s="34" t="str">
        <x:f>IF(C395="","","SRC-"&amp;TEXT(ROW()-1,"000"))</x:f>
      </x:c>
      <x:c r="B395" s="35"/>
      <x:c r="C395" s="34"/>
      <x:c r="D395" s="34"/>
      <x:c r="E395" s="34"/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 t="str">
        <x:v>Collected</x:v>
      </x:c>
      <x:c r="P395" s="34"/>
      <x:c r="Q395" s="35"/>
      <x:c r="R395" s="35"/>
    </x:row>
    <x:row r="396">
      <x:c r="A396" s="34" t="str">
        <x:f>IF(C396="","","SRC-"&amp;TEXT(ROW()-1,"000"))</x:f>
      </x:c>
      <x:c r="B396" s="35"/>
      <x:c r="C396" s="34"/>
      <x:c r="D396" s="34"/>
      <x:c r="E396" s="34"/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 t="str">
        <x:v>Collected</x:v>
      </x:c>
      <x:c r="P396" s="34"/>
      <x:c r="Q396" s="35"/>
      <x:c r="R396" s="35"/>
    </x:row>
    <x:row r="397">
      <x:c r="A397" s="34" t="str">
        <x:f>IF(C397="","","SRC-"&amp;TEXT(ROW()-1,"000"))</x:f>
      </x:c>
      <x:c r="B397" s="35"/>
      <x:c r="C397" s="34"/>
      <x:c r="D397" s="34"/>
      <x:c r="E397" s="34"/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 t="str">
        <x:v>Collected</x:v>
      </x:c>
      <x:c r="P397" s="34"/>
      <x:c r="Q397" s="35"/>
      <x:c r="R397" s="35"/>
    </x:row>
    <x:row r="398">
      <x:c r="A398" s="34" t="str">
        <x:f>IF(C398="","","SRC-"&amp;TEXT(ROW()-1,"000"))</x:f>
      </x:c>
      <x:c r="B398" s="35"/>
      <x:c r="C398" s="34"/>
      <x:c r="D398" s="34"/>
      <x:c r="E398" s="34"/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 t="str">
        <x:v>Collected</x:v>
      </x:c>
      <x:c r="P398" s="34"/>
      <x:c r="Q398" s="35"/>
      <x:c r="R398" s="35"/>
    </x:row>
    <x:row r="399">
      <x:c r="A399" s="34" t="str">
        <x:f>IF(C399="","","SRC-"&amp;TEXT(ROW()-1,"000"))</x:f>
      </x:c>
      <x:c r="B399" s="35"/>
      <x:c r="C399" s="34"/>
      <x:c r="D399" s="34"/>
      <x:c r="E399" s="34"/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 t="str">
        <x:v>Collected</x:v>
      </x:c>
      <x:c r="P399" s="34"/>
      <x:c r="Q399" s="35"/>
      <x:c r="R399" s="35"/>
    </x:row>
    <x:row r="400">
      <x:c r="A400" s="34" t="str">
        <x:f>IF(C400="","","SRC-"&amp;TEXT(ROW()-1,"000"))</x:f>
      </x:c>
      <x:c r="B400" s="35"/>
      <x:c r="C400" s="34"/>
      <x:c r="D400" s="34"/>
      <x:c r="E400" s="34"/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 t="str">
        <x:v>Collected</x:v>
      </x:c>
      <x:c r="P400" s="34"/>
      <x:c r="Q400" s="35"/>
      <x:c r="R400" s="35"/>
    </x:row>
    <x:row r="401">
      <x:c r="A401" s="34" t="str">
        <x:f>IF(C401="","","SRC-"&amp;TEXT(ROW()-1,"000"))</x:f>
      </x:c>
      <x:c r="B401" s="35"/>
      <x:c r="C401" s="34"/>
      <x:c r="D401" s="34"/>
      <x:c r="E401" s="34"/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 t="str">
        <x:v>Collected</x:v>
      </x:c>
      <x:c r="P401" s="34"/>
      <x:c r="Q401" s="35"/>
      <x:c r="R401" s="35"/>
    </x:row>
    <x:row r="402">
      <x:c r="A402" s="34" t="str">
        <x:f>IF(C402="","","SRC-"&amp;TEXT(ROW()-1,"000"))</x:f>
      </x:c>
      <x:c r="B402" s="35"/>
      <x:c r="C402" s="34"/>
      <x:c r="D402" s="34"/>
      <x:c r="E402" s="34"/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 t="str">
        <x:v>Collected</x:v>
      </x:c>
      <x:c r="P402" s="34"/>
      <x:c r="Q402" s="35"/>
      <x:c r="R402" s="35"/>
    </x:row>
    <x:row r="403">
      <x:c r="A403" s="34" t="str">
        <x:f>IF(C403="","","SRC-"&amp;TEXT(ROW()-1,"000"))</x:f>
      </x:c>
      <x:c r="B403" s="35"/>
      <x:c r="C403" s="34"/>
      <x:c r="D403" s="34"/>
      <x:c r="E403" s="34"/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 t="str">
        <x:v>Collected</x:v>
      </x:c>
      <x:c r="P403" s="34"/>
      <x:c r="Q403" s="35"/>
      <x:c r="R403" s="35"/>
    </x:row>
    <x:row r="404">
      <x:c r="A404" s="34" t="str">
        <x:f>IF(C404="","","SRC-"&amp;TEXT(ROW()-1,"000"))</x:f>
      </x:c>
      <x:c r="B404" s="35"/>
      <x:c r="C404" s="34"/>
      <x:c r="D404" s="34"/>
      <x:c r="E404" s="34"/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 t="str">
        <x:v>Collected</x:v>
      </x:c>
      <x:c r="P404" s="34"/>
      <x:c r="Q404" s="35"/>
      <x:c r="R404" s="35"/>
    </x:row>
    <x:row r="405">
      <x:c r="A405" s="34" t="str">
        <x:f>IF(C405="","","SRC-"&amp;TEXT(ROW()-1,"000"))</x:f>
      </x:c>
      <x:c r="B405" s="35"/>
      <x:c r="C405" s="34"/>
      <x:c r="D405" s="34"/>
      <x:c r="E405" s="34"/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 t="str">
        <x:v>Collected</x:v>
      </x:c>
      <x:c r="P405" s="34"/>
      <x:c r="Q405" s="35"/>
      <x:c r="R405" s="35"/>
    </x:row>
    <x:row r="406">
      <x:c r="A406" s="34" t="str">
        <x:f>IF(C406="","","SRC-"&amp;TEXT(ROW()-1,"000"))</x:f>
      </x:c>
      <x:c r="B406" s="35"/>
      <x:c r="C406" s="34"/>
      <x:c r="D406" s="34"/>
      <x:c r="E406" s="34"/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 t="str">
        <x:v>Collected</x:v>
      </x:c>
      <x:c r="P406" s="34"/>
      <x:c r="Q406" s="35"/>
      <x:c r="R406" s="35"/>
    </x:row>
    <x:row r="407">
      <x:c r="A407" s="34" t="str">
        <x:f>IF(C407="","","SRC-"&amp;TEXT(ROW()-1,"000"))</x:f>
      </x:c>
      <x:c r="B407" s="35"/>
      <x:c r="C407" s="34"/>
      <x:c r="D407" s="34"/>
      <x:c r="E407" s="34"/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 t="str">
        <x:v>Collected</x:v>
      </x:c>
      <x:c r="P407" s="34"/>
      <x:c r="Q407" s="35"/>
      <x:c r="R407" s="35"/>
    </x:row>
    <x:row r="408">
      <x:c r="A408" s="34" t="str">
        <x:f>IF(C408="","","SRC-"&amp;TEXT(ROW()-1,"000"))</x:f>
      </x:c>
      <x:c r="B408" s="35"/>
      <x:c r="C408" s="34"/>
      <x:c r="D408" s="34"/>
      <x:c r="E408" s="34"/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 t="str">
        <x:v>Collected</x:v>
      </x:c>
      <x:c r="P408" s="34"/>
      <x:c r="Q408" s="35"/>
      <x:c r="R408" s="35"/>
    </x:row>
    <x:row r="409">
      <x:c r="A409" s="34" t="str">
        <x:f>IF(C409="","","SRC-"&amp;TEXT(ROW()-1,"000"))</x:f>
      </x:c>
      <x:c r="B409" s="35"/>
      <x:c r="C409" s="34"/>
      <x:c r="D409" s="34"/>
      <x:c r="E409" s="34"/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 t="str">
        <x:v>Collected</x:v>
      </x:c>
      <x:c r="P409" s="34"/>
      <x:c r="Q409" s="35"/>
      <x:c r="R409" s="35"/>
    </x:row>
    <x:row r="410">
      <x:c r="A410" s="34" t="str">
        <x:f>IF(C410="","","SRC-"&amp;TEXT(ROW()-1,"000"))</x:f>
      </x:c>
      <x:c r="B410" s="35"/>
      <x:c r="C410" s="34"/>
      <x:c r="D410" s="34"/>
      <x:c r="E410" s="34"/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 t="str">
        <x:v>Collected</x:v>
      </x:c>
      <x:c r="P410" s="34"/>
      <x:c r="Q410" s="35"/>
      <x:c r="R410" s="35"/>
    </x:row>
    <x:row r="411">
      <x:c r="A411" s="34" t="str">
        <x:f>IF(C411="","","SRC-"&amp;TEXT(ROW()-1,"000"))</x:f>
      </x:c>
      <x:c r="B411" s="35"/>
      <x:c r="C411" s="34"/>
      <x:c r="D411" s="34"/>
      <x:c r="E411" s="34"/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 t="str">
        <x:v>Collected</x:v>
      </x:c>
      <x:c r="P411" s="34"/>
      <x:c r="Q411" s="35"/>
      <x:c r="R411" s="35"/>
    </x:row>
    <x:row r="412">
      <x:c r="A412" s="34" t="str">
        <x:f>IF(C412="","","SRC-"&amp;TEXT(ROW()-1,"000"))</x:f>
      </x:c>
      <x:c r="B412" s="35"/>
      <x:c r="C412" s="34"/>
      <x:c r="D412" s="34"/>
      <x:c r="E412" s="34"/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 t="str">
        <x:v>Collected</x:v>
      </x:c>
      <x:c r="P412" s="34"/>
      <x:c r="Q412" s="35"/>
      <x:c r="R412" s="35"/>
    </x:row>
    <x:row r="413">
      <x:c r="A413" s="34" t="str">
        <x:f>IF(C413="","","SRC-"&amp;TEXT(ROW()-1,"000"))</x:f>
      </x:c>
      <x:c r="B413" s="35"/>
      <x:c r="C413" s="34"/>
      <x:c r="D413" s="34"/>
      <x:c r="E413" s="34"/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 t="str">
        <x:v>Collected</x:v>
      </x:c>
      <x:c r="P413" s="34"/>
      <x:c r="Q413" s="35"/>
      <x:c r="R413" s="35"/>
    </x:row>
    <x:row r="414">
      <x:c r="A414" s="34" t="str">
        <x:f>IF(C414="","","SRC-"&amp;TEXT(ROW()-1,"000"))</x:f>
      </x:c>
      <x:c r="B414" s="35"/>
      <x:c r="C414" s="34"/>
      <x:c r="D414" s="34"/>
      <x:c r="E414" s="34"/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 t="str">
        <x:v>Collected</x:v>
      </x:c>
      <x:c r="P414" s="34"/>
      <x:c r="Q414" s="35"/>
      <x:c r="R414" s="35"/>
    </x:row>
    <x:row r="415">
      <x:c r="A415" s="34" t="str">
        <x:f>IF(C415="","","SRC-"&amp;TEXT(ROW()-1,"000"))</x:f>
      </x:c>
      <x:c r="B415" s="35"/>
      <x:c r="C415" s="34"/>
      <x:c r="D415" s="34"/>
      <x:c r="E415" s="34"/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 t="str">
        <x:v>Collected</x:v>
      </x:c>
      <x:c r="P415" s="34"/>
      <x:c r="Q415" s="35"/>
      <x:c r="R415" s="35"/>
    </x:row>
    <x:row r="416">
      <x:c r="A416" s="34" t="str">
        <x:f>IF(C416="","","SRC-"&amp;TEXT(ROW()-1,"000"))</x:f>
      </x:c>
      <x:c r="B416" s="35"/>
      <x:c r="C416" s="34"/>
      <x:c r="D416" s="34"/>
      <x:c r="E416" s="34"/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 t="str">
        <x:v>Collected</x:v>
      </x:c>
      <x:c r="P416" s="34"/>
      <x:c r="Q416" s="35"/>
      <x:c r="R416" s="35"/>
    </x:row>
    <x:row r="417">
      <x:c r="A417" s="34" t="str">
        <x:f>IF(C417="","","SRC-"&amp;TEXT(ROW()-1,"000"))</x:f>
      </x:c>
      <x:c r="B417" s="35"/>
      <x:c r="C417" s="34"/>
      <x:c r="D417" s="34"/>
      <x:c r="E417" s="34"/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 t="str">
        <x:v>Collected</x:v>
      </x:c>
      <x:c r="P417" s="34"/>
      <x:c r="Q417" s="35"/>
      <x:c r="R417" s="35"/>
    </x:row>
    <x:row r="418">
      <x:c r="A418" s="34" t="str">
        <x:f>IF(C418="","","SRC-"&amp;TEXT(ROW()-1,"000"))</x:f>
      </x:c>
      <x:c r="B418" s="35"/>
      <x:c r="C418" s="34"/>
      <x:c r="D418" s="34"/>
      <x:c r="E418" s="34"/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 t="str">
        <x:v>Collected</x:v>
      </x:c>
      <x:c r="P418" s="34"/>
      <x:c r="Q418" s="35"/>
      <x:c r="R418" s="35"/>
    </x:row>
    <x:row r="419">
      <x:c r="A419" s="34" t="str">
        <x:f>IF(C419="","","SRC-"&amp;TEXT(ROW()-1,"000"))</x:f>
      </x:c>
      <x:c r="B419" s="35"/>
      <x:c r="C419" s="34"/>
      <x:c r="D419" s="34"/>
      <x:c r="E419" s="34"/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 t="str">
        <x:v>Collected</x:v>
      </x:c>
      <x:c r="P419" s="34"/>
      <x:c r="Q419" s="35"/>
      <x:c r="R419" s="35"/>
    </x:row>
    <x:row r="420">
      <x:c r="A420" s="34" t="str">
        <x:f>IF(C420="","","SRC-"&amp;TEXT(ROW()-1,"000"))</x:f>
      </x:c>
      <x:c r="B420" s="35"/>
      <x:c r="C420" s="34"/>
      <x:c r="D420" s="34"/>
      <x:c r="E420" s="34"/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 t="str">
        <x:v>Collected</x:v>
      </x:c>
      <x:c r="P420" s="34"/>
      <x:c r="Q420" s="35"/>
      <x:c r="R420" s="35"/>
    </x:row>
    <x:row r="421">
      <x:c r="A421" s="34" t="str">
        <x:f>IF(C421="","","SRC-"&amp;TEXT(ROW()-1,"000"))</x:f>
      </x:c>
      <x:c r="B421" s="35"/>
      <x:c r="C421" s="34"/>
      <x:c r="D421" s="34"/>
      <x:c r="E421" s="34"/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 t="str">
        <x:v>Collected</x:v>
      </x:c>
      <x:c r="P421" s="34"/>
      <x:c r="Q421" s="35"/>
      <x:c r="R421" s="35"/>
    </x:row>
    <x:row r="422">
      <x:c r="A422" s="34" t="str">
        <x:f>IF(C422="","","SRC-"&amp;TEXT(ROW()-1,"000"))</x:f>
      </x:c>
      <x:c r="B422" s="35"/>
      <x:c r="C422" s="34"/>
      <x:c r="D422" s="34"/>
      <x:c r="E422" s="34"/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 t="str">
        <x:v>Collected</x:v>
      </x:c>
      <x:c r="P422" s="34"/>
      <x:c r="Q422" s="35"/>
      <x:c r="R422" s="35"/>
    </x:row>
    <x:row r="423">
      <x:c r="A423" s="34" t="str">
        <x:f>IF(C423="","","SRC-"&amp;TEXT(ROW()-1,"000"))</x:f>
      </x:c>
      <x:c r="B423" s="35"/>
      <x:c r="C423" s="34"/>
      <x:c r="D423" s="34"/>
      <x:c r="E423" s="34"/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 t="str">
        <x:v>Collected</x:v>
      </x:c>
      <x:c r="P423" s="34"/>
      <x:c r="Q423" s="35"/>
      <x:c r="R423" s="35"/>
    </x:row>
    <x:row r="424">
      <x:c r="A424" s="34" t="str">
        <x:f>IF(C424="","","SRC-"&amp;TEXT(ROW()-1,"000"))</x:f>
      </x:c>
      <x:c r="B424" s="35"/>
      <x:c r="C424" s="34"/>
      <x:c r="D424" s="34"/>
      <x:c r="E424" s="34"/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 t="str">
        <x:v>Collected</x:v>
      </x:c>
      <x:c r="P424" s="34"/>
      <x:c r="Q424" s="35"/>
      <x:c r="R424" s="35"/>
    </x:row>
    <x:row r="425">
      <x:c r="A425" s="34" t="str">
        <x:f>IF(C425="","","SRC-"&amp;TEXT(ROW()-1,"000"))</x:f>
      </x:c>
      <x:c r="B425" s="35"/>
      <x:c r="C425" s="34"/>
      <x:c r="D425" s="34"/>
      <x:c r="E425" s="34"/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 t="str">
        <x:v>Collected</x:v>
      </x:c>
      <x:c r="P425" s="34"/>
      <x:c r="Q425" s="35"/>
      <x:c r="R425" s="35"/>
    </x:row>
    <x:row r="426">
      <x:c r="A426" s="34" t="str">
        <x:f>IF(C426="","","SRC-"&amp;TEXT(ROW()-1,"000"))</x:f>
      </x:c>
      <x:c r="B426" s="35"/>
      <x:c r="C426" s="34"/>
      <x:c r="D426" s="34"/>
      <x:c r="E426" s="34"/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 t="str">
        <x:v>Collected</x:v>
      </x:c>
      <x:c r="P426" s="34"/>
      <x:c r="Q426" s="35"/>
      <x:c r="R426" s="35"/>
    </x:row>
    <x:row r="427">
      <x:c r="A427" s="34" t="str">
        <x:f>IF(C427="","","SRC-"&amp;TEXT(ROW()-1,"000"))</x:f>
      </x:c>
      <x:c r="B427" s="35"/>
      <x:c r="C427" s="34"/>
      <x:c r="D427" s="34"/>
      <x:c r="E427" s="34"/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 t="str">
        <x:v>Collected</x:v>
      </x:c>
      <x:c r="P427" s="34"/>
      <x:c r="Q427" s="35"/>
      <x:c r="R427" s="35"/>
    </x:row>
    <x:row r="428">
      <x:c r="A428" s="34" t="str">
        <x:f>IF(C428="","","SRC-"&amp;TEXT(ROW()-1,"000"))</x:f>
      </x:c>
      <x:c r="B428" s="35"/>
      <x:c r="C428" s="34"/>
      <x:c r="D428" s="34"/>
      <x:c r="E428" s="34"/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 t="str">
        <x:v>Collected</x:v>
      </x:c>
      <x:c r="P428" s="34"/>
      <x:c r="Q428" s="35"/>
      <x:c r="R428" s="35"/>
    </x:row>
    <x:row r="429">
      <x:c r="A429" s="34" t="str">
        <x:f>IF(C429="","","SRC-"&amp;TEXT(ROW()-1,"000"))</x:f>
      </x:c>
      <x:c r="B429" s="35"/>
      <x:c r="C429" s="34"/>
      <x:c r="D429" s="34"/>
      <x:c r="E429" s="34"/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 t="str">
        <x:v>Collected</x:v>
      </x:c>
      <x:c r="P429" s="34"/>
      <x:c r="Q429" s="35"/>
      <x:c r="R429" s="35"/>
    </x:row>
    <x:row r="430">
      <x:c r="A430" s="34" t="str">
        <x:f>IF(C430="","","SRC-"&amp;TEXT(ROW()-1,"000"))</x:f>
      </x:c>
      <x:c r="B430" s="35"/>
      <x:c r="C430" s="34"/>
      <x:c r="D430" s="34"/>
      <x:c r="E430" s="34"/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 t="str">
        <x:v>Collected</x:v>
      </x:c>
      <x:c r="P430" s="34"/>
      <x:c r="Q430" s="35"/>
      <x:c r="R430" s="35"/>
    </x:row>
    <x:row r="431">
      <x:c r="A431" s="34" t="str">
        <x:f>IF(C431="","","SRC-"&amp;TEXT(ROW()-1,"000"))</x:f>
      </x:c>
      <x:c r="B431" s="35"/>
      <x:c r="C431" s="34"/>
      <x:c r="D431" s="34"/>
      <x:c r="E431" s="34"/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 t="str">
        <x:v>Collected</x:v>
      </x:c>
      <x:c r="P431" s="34"/>
      <x:c r="Q431" s="35"/>
      <x:c r="R431" s="35"/>
    </x:row>
    <x:row r="432">
      <x:c r="A432" s="34" t="str">
        <x:f>IF(C432="","","SRC-"&amp;TEXT(ROW()-1,"000"))</x:f>
      </x:c>
      <x:c r="B432" s="35"/>
      <x:c r="C432" s="34"/>
      <x:c r="D432" s="34"/>
      <x:c r="E432" s="34"/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 t="str">
        <x:v>Collected</x:v>
      </x:c>
      <x:c r="P432" s="34"/>
      <x:c r="Q432" s="35"/>
      <x:c r="R432" s="35"/>
    </x:row>
    <x:row r="433">
      <x:c r="A433" s="34" t="str">
        <x:f>IF(C433="","","SRC-"&amp;TEXT(ROW()-1,"000"))</x:f>
      </x:c>
      <x:c r="B433" s="35"/>
      <x:c r="C433" s="34"/>
      <x:c r="D433" s="34"/>
      <x:c r="E433" s="34"/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 t="str">
        <x:v>Collected</x:v>
      </x:c>
      <x:c r="P433" s="34"/>
      <x:c r="Q433" s="35"/>
      <x:c r="R433" s="35"/>
    </x:row>
    <x:row r="434">
      <x:c r="A434" s="34" t="str">
        <x:f>IF(C434="","","SRC-"&amp;TEXT(ROW()-1,"000"))</x:f>
      </x:c>
      <x:c r="B434" s="35"/>
      <x:c r="C434" s="34"/>
      <x:c r="D434" s="34"/>
      <x:c r="E434" s="34"/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 t="str">
        <x:v>Collected</x:v>
      </x:c>
      <x:c r="P434" s="34"/>
      <x:c r="Q434" s="35"/>
      <x:c r="R434" s="35"/>
    </x:row>
    <x:row r="435">
      <x:c r="A435" s="34" t="str">
        <x:f>IF(C435="","","SRC-"&amp;TEXT(ROW()-1,"000"))</x:f>
      </x:c>
      <x:c r="B435" s="35"/>
      <x:c r="C435" s="34"/>
      <x:c r="D435" s="34"/>
      <x:c r="E435" s="34"/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 t="str">
        <x:v>Collected</x:v>
      </x:c>
      <x:c r="P435" s="34"/>
      <x:c r="Q435" s="35"/>
      <x:c r="R435" s="35"/>
    </x:row>
    <x:row r="436">
      <x:c r="A436" s="34" t="str">
        <x:f>IF(C436="","","SRC-"&amp;TEXT(ROW()-1,"000"))</x:f>
      </x:c>
      <x:c r="B436" s="35"/>
      <x:c r="C436" s="34"/>
      <x:c r="D436" s="34"/>
      <x:c r="E436" s="34"/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 t="str">
        <x:v>Collected</x:v>
      </x:c>
      <x:c r="P436" s="34"/>
      <x:c r="Q436" s="35"/>
      <x:c r="R436" s="35"/>
    </x:row>
    <x:row r="437">
      <x:c r="A437" s="34" t="str">
        <x:f>IF(C437="","","SRC-"&amp;TEXT(ROW()-1,"000"))</x:f>
      </x:c>
      <x:c r="B437" s="35"/>
      <x:c r="C437" s="34"/>
      <x:c r="D437" s="34"/>
      <x:c r="E437" s="34"/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 t="str">
        <x:v>Collected</x:v>
      </x:c>
      <x:c r="P437" s="34"/>
      <x:c r="Q437" s="35"/>
      <x:c r="R437" s="35"/>
    </x:row>
    <x:row r="438">
      <x:c r="A438" s="34" t="str">
        <x:f>IF(C438="","","SRC-"&amp;TEXT(ROW()-1,"000"))</x:f>
      </x:c>
      <x:c r="B438" s="35"/>
      <x:c r="C438" s="34"/>
      <x:c r="D438" s="34"/>
      <x:c r="E438" s="34"/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 t="str">
        <x:v>Collected</x:v>
      </x:c>
      <x:c r="P438" s="34"/>
      <x:c r="Q438" s="35"/>
      <x:c r="R438" s="35"/>
    </x:row>
    <x:row r="439">
      <x:c r="A439" s="34" t="str">
        <x:f>IF(C439="","","SRC-"&amp;TEXT(ROW()-1,"000"))</x:f>
      </x:c>
      <x:c r="B439" s="35"/>
      <x:c r="C439" s="34"/>
      <x:c r="D439" s="34"/>
      <x:c r="E439" s="34"/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 t="str">
        <x:v>Collected</x:v>
      </x:c>
      <x:c r="P439" s="34"/>
      <x:c r="Q439" s="35"/>
      <x:c r="R439" s="35"/>
    </x:row>
    <x:row r="440">
      <x:c r="A440" s="34" t="str">
        <x:f>IF(C440="","","SRC-"&amp;TEXT(ROW()-1,"000"))</x:f>
      </x:c>
      <x:c r="B440" s="35"/>
      <x:c r="C440" s="34"/>
      <x:c r="D440" s="34"/>
      <x:c r="E440" s="34"/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 t="str">
        <x:v>Collected</x:v>
      </x:c>
      <x:c r="P440" s="34"/>
      <x:c r="Q440" s="35"/>
      <x:c r="R440" s="35"/>
    </x:row>
    <x:row r="441">
      <x:c r="A441" s="34" t="str">
        <x:f>IF(C441="","","SRC-"&amp;TEXT(ROW()-1,"000"))</x:f>
      </x:c>
      <x:c r="B441" s="35"/>
      <x:c r="C441" s="34"/>
      <x:c r="D441" s="34"/>
      <x:c r="E441" s="34"/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 t="str">
        <x:v>Collected</x:v>
      </x:c>
      <x:c r="P441" s="34"/>
      <x:c r="Q441" s="35"/>
      <x:c r="R441" s="35"/>
    </x:row>
    <x:row r="442">
      <x:c r="A442" s="34" t="str">
        <x:f>IF(C442="","","SRC-"&amp;TEXT(ROW()-1,"000"))</x:f>
      </x:c>
      <x:c r="B442" s="35"/>
      <x:c r="C442" s="34"/>
      <x:c r="D442" s="34"/>
      <x:c r="E442" s="34"/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 t="str">
        <x:v>Collected</x:v>
      </x:c>
      <x:c r="P442" s="34"/>
      <x:c r="Q442" s="35"/>
      <x:c r="R442" s="35"/>
    </x:row>
    <x:row r="443">
      <x:c r="A443" s="34" t="str">
        <x:f>IF(C443="","","SRC-"&amp;TEXT(ROW()-1,"000"))</x:f>
      </x:c>
      <x:c r="B443" s="35"/>
      <x:c r="C443" s="34"/>
      <x:c r="D443" s="34"/>
      <x:c r="E443" s="34"/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 t="str">
        <x:v>Collected</x:v>
      </x:c>
      <x:c r="P443" s="34"/>
      <x:c r="Q443" s="35"/>
      <x:c r="R443" s="35"/>
    </x:row>
    <x:row r="444">
      <x:c r="A444" s="34" t="str">
        <x:f>IF(C444="","","SRC-"&amp;TEXT(ROW()-1,"000"))</x:f>
      </x:c>
      <x:c r="B444" s="35"/>
      <x:c r="C444" s="34"/>
      <x:c r="D444" s="34"/>
      <x:c r="E444" s="34"/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 t="str">
        <x:v>Collected</x:v>
      </x:c>
      <x:c r="P444" s="34"/>
      <x:c r="Q444" s="35"/>
      <x:c r="R444" s="35"/>
    </x:row>
    <x:row r="445">
      <x:c r="A445" s="34" t="str">
        <x:f>IF(C445="","","SRC-"&amp;TEXT(ROW()-1,"000"))</x:f>
      </x:c>
      <x:c r="B445" s="35"/>
      <x:c r="C445" s="34"/>
      <x:c r="D445" s="34"/>
      <x:c r="E445" s="34"/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 t="str">
        <x:v>Collected</x:v>
      </x:c>
      <x:c r="P445" s="34"/>
      <x:c r="Q445" s="35"/>
      <x:c r="R445" s="35"/>
    </x:row>
    <x:row r="446">
      <x:c r="A446" s="34" t="str">
        <x:f>IF(C446="","","SRC-"&amp;TEXT(ROW()-1,"000"))</x:f>
      </x:c>
      <x:c r="B446" s="35"/>
      <x:c r="C446" s="34"/>
      <x:c r="D446" s="34"/>
      <x:c r="E446" s="34"/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 t="str">
        <x:v>Collected</x:v>
      </x:c>
      <x:c r="P446" s="34"/>
      <x:c r="Q446" s="35"/>
      <x:c r="R446" s="35"/>
    </x:row>
    <x:row r="447">
      <x:c r="A447" s="34" t="str">
        <x:f>IF(C447="","","SRC-"&amp;TEXT(ROW()-1,"000"))</x:f>
      </x:c>
      <x:c r="B447" s="35"/>
      <x:c r="C447" s="34"/>
      <x:c r="D447" s="34"/>
      <x:c r="E447" s="34"/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 t="str">
        <x:v>Collected</x:v>
      </x:c>
      <x:c r="P447" s="34"/>
      <x:c r="Q447" s="35"/>
      <x:c r="R447" s="35"/>
    </x:row>
    <x:row r="448">
      <x:c r="A448" s="34" t="str">
        <x:f>IF(C448="","","SRC-"&amp;TEXT(ROW()-1,"000"))</x:f>
      </x:c>
      <x:c r="B448" s="35"/>
      <x:c r="C448" s="34"/>
      <x:c r="D448" s="34"/>
      <x:c r="E448" s="34"/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 t="str">
        <x:v>Collected</x:v>
      </x:c>
      <x:c r="P448" s="34"/>
      <x:c r="Q448" s="35"/>
      <x:c r="R448" s="35"/>
    </x:row>
    <x:row r="449">
      <x:c r="A449" s="34" t="str">
        <x:f>IF(C449="","","SRC-"&amp;TEXT(ROW()-1,"000"))</x:f>
      </x:c>
      <x:c r="B449" s="35"/>
      <x:c r="C449" s="34"/>
      <x:c r="D449" s="34"/>
      <x:c r="E449" s="34"/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 t="str">
        <x:v>Collected</x:v>
      </x:c>
      <x:c r="P449" s="34"/>
      <x:c r="Q449" s="35"/>
      <x:c r="R449" s="35"/>
    </x:row>
    <x:row r="450">
      <x:c r="A450" s="34" t="str">
        <x:f>IF(C450="","","SRC-"&amp;TEXT(ROW()-1,"000"))</x:f>
      </x:c>
      <x:c r="B450" s="35"/>
      <x:c r="C450" s="34"/>
      <x:c r="D450" s="34"/>
      <x:c r="E450" s="34"/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 t="str">
        <x:v>Collected</x:v>
      </x:c>
      <x:c r="P450" s="34"/>
      <x:c r="Q450" s="35"/>
      <x:c r="R450" s="35"/>
    </x:row>
    <x:row r="451">
      <x:c r="A451" s="34" t="str">
        <x:f>IF(C451="","","SRC-"&amp;TEXT(ROW()-1,"000"))</x:f>
      </x:c>
      <x:c r="B451" s="35"/>
      <x:c r="C451" s="34"/>
      <x:c r="D451" s="34"/>
      <x:c r="E451" s="34"/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 t="str">
        <x:v>Collected</x:v>
      </x:c>
      <x:c r="P451" s="34"/>
      <x:c r="Q451" s="35"/>
      <x:c r="R451" s="35"/>
    </x:row>
    <x:row r="452">
      <x:c r="A452" s="34" t="str">
        <x:f>IF(C452="","","SRC-"&amp;TEXT(ROW()-1,"000"))</x:f>
      </x:c>
      <x:c r="B452" s="35"/>
      <x:c r="C452" s="34"/>
      <x:c r="D452" s="34"/>
      <x:c r="E452" s="34"/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 t="str">
        <x:v>Collected</x:v>
      </x:c>
      <x:c r="P452" s="34"/>
      <x:c r="Q452" s="35"/>
      <x:c r="R452" s="35"/>
    </x:row>
    <x:row r="453">
      <x:c r="A453" s="34" t="str">
        <x:f>IF(C453="","","SRC-"&amp;TEXT(ROW()-1,"000"))</x:f>
      </x:c>
      <x:c r="B453" s="35"/>
      <x:c r="C453" s="34"/>
      <x:c r="D453" s="34"/>
      <x:c r="E453" s="34"/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 t="str">
        <x:v>Collected</x:v>
      </x:c>
      <x:c r="P453" s="34"/>
      <x:c r="Q453" s="35"/>
      <x:c r="R453" s="35"/>
    </x:row>
    <x:row r="454">
      <x:c r="A454" s="34" t="str">
        <x:f>IF(C454="","","SRC-"&amp;TEXT(ROW()-1,"000"))</x:f>
      </x:c>
      <x:c r="B454" s="35"/>
      <x:c r="C454" s="34"/>
      <x:c r="D454" s="34"/>
      <x:c r="E454" s="34"/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 t="str">
        <x:v>Collected</x:v>
      </x:c>
      <x:c r="P454" s="34"/>
      <x:c r="Q454" s="35"/>
      <x:c r="R454" s="35"/>
    </x:row>
    <x:row r="455">
      <x:c r="A455" s="34" t="str">
        <x:f>IF(C455="","","SRC-"&amp;TEXT(ROW()-1,"000"))</x:f>
      </x:c>
      <x:c r="B455" s="35"/>
      <x:c r="C455" s="34"/>
      <x:c r="D455" s="34"/>
      <x:c r="E455" s="34"/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 t="str">
        <x:v>Collected</x:v>
      </x:c>
      <x:c r="P455" s="34"/>
      <x:c r="Q455" s="35"/>
      <x:c r="R455" s="35"/>
    </x:row>
    <x:row r="456">
      <x:c r="A456" s="34" t="str">
        <x:f>IF(C456="","","SRC-"&amp;TEXT(ROW()-1,"000"))</x:f>
      </x:c>
      <x:c r="B456" s="35"/>
      <x:c r="C456" s="34"/>
      <x:c r="D456" s="34"/>
      <x:c r="E456" s="34"/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 t="str">
        <x:v>Collected</x:v>
      </x:c>
      <x:c r="P456" s="34"/>
      <x:c r="Q456" s="35"/>
      <x:c r="R456" s="35"/>
    </x:row>
    <x:row r="457">
      <x:c r="A457" s="34" t="str">
        <x:f>IF(C457="","","SRC-"&amp;TEXT(ROW()-1,"000"))</x:f>
      </x:c>
      <x:c r="B457" s="35"/>
      <x:c r="C457" s="34"/>
      <x:c r="D457" s="34"/>
      <x:c r="E457" s="34"/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 t="str">
        <x:v>Collected</x:v>
      </x:c>
      <x:c r="P457" s="34"/>
      <x:c r="Q457" s="35"/>
      <x:c r="R457" s="35"/>
    </x:row>
    <x:row r="458">
      <x:c r="A458" s="34" t="str">
        <x:f>IF(C458="","","SRC-"&amp;TEXT(ROW()-1,"000"))</x:f>
      </x:c>
      <x:c r="B458" s="35"/>
      <x:c r="C458" s="34"/>
      <x:c r="D458" s="34"/>
      <x:c r="E458" s="34"/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 t="str">
        <x:v>Collected</x:v>
      </x:c>
      <x:c r="P458" s="34"/>
      <x:c r="Q458" s="35"/>
      <x:c r="R458" s="35"/>
    </x:row>
    <x:row r="459">
      <x:c r="A459" s="34" t="str">
        <x:f>IF(C459="","","SRC-"&amp;TEXT(ROW()-1,"000"))</x:f>
      </x:c>
      <x:c r="B459" s="35"/>
      <x:c r="C459" s="34"/>
      <x:c r="D459" s="34"/>
      <x:c r="E459" s="34"/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 t="str">
        <x:v>Collected</x:v>
      </x:c>
      <x:c r="P459" s="34"/>
      <x:c r="Q459" s="35"/>
      <x:c r="R459" s="35"/>
    </x:row>
    <x:row r="460">
      <x:c r="A460" s="34" t="str">
        <x:f>IF(C460="","","SRC-"&amp;TEXT(ROW()-1,"000"))</x:f>
      </x:c>
      <x:c r="B460" s="35"/>
      <x:c r="C460" s="34"/>
      <x:c r="D460" s="34"/>
      <x:c r="E460" s="34"/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 t="str">
        <x:v>Collected</x:v>
      </x:c>
      <x:c r="P460" s="34"/>
      <x:c r="Q460" s="35"/>
      <x:c r="R460" s="35"/>
    </x:row>
    <x:row r="461">
      <x:c r="A461" s="34" t="str">
        <x:f>IF(C461="","","SRC-"&amp;TEXT(ROW()-1,"000"))</x:f>
      </x:c>
      <x:c r="B461" s="35"/>
      <x:c r="C461" s="34"/>
      <x:c r="D461" s="34"/>
      <x:c r="E461" s="34"/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 t="str">
        <x:v>Collected</x:v>
      </x:c>
      <x:c r="P461" s="34"/>
      <x:c r="Q461" s="35"/>
      <x:c r="R461" s="35"/>
    </x:row>
    <x:row r="462">
      <x:c r="A462" s="34" t="str">
        <x:f>IF(C462="","","SRC-"&amp;TEXT(ROW()-1,"000"))</x:f>
      </x:c>
      <x:c r="B462" s="35"/>
      <x:c r="C462" s="34"/>
      <x:c r="D462" s="34"/>
      <x:c r="E462" s="34"/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 t="str">
        <x:v>Collected</x:v>
      </x:c>
      <x:c r="P462" s="34"/>
      <x:c r="Q462" s="35"/>
      <x:c r="R462" s="35"/>
    </x:row>
    <x:row r="463">
      <x:c r="A463" s="34" t="str">
        <x:f>IF(C463="","","SRC-"&amp;TEXT(ROW()-1,"000"))</x:f>
      </x:c>
      <x:c r="B463" s="35"/>
      <x:c r="C463" s="34"/>
      <x:c r="D463" s="34"/>
      <x:c r="E463" s="34"/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 t="str">
        <x:v>Collected</x:v>
      </x:c>
      <x:c r="P463" s="34"/>
      <x:c r="Q463" s="35"/>
      <x:c r="R463" s="35"/>
    </x:row>
    <x:row r="464">
      <x:c r="A464" s="34" t="str">
        <x:f>IF(C464="","","SRC-"&amp;TEXT(ROW()-1,"000"))</x:f>
      </x:c>
      <x:c r="B464" s="35"/>
      <x:c r="C464" s="34"/>
      <x:c r="D464" s="34"/>
      <x:c r="E464" s="34"/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 t="str">
        <x:v>Collected</x:v>
      </x:c>
      <x:c r="P464" s="34"/>
      <x:c r="Q464" s="35"/>
      <x:c r="R464" s="35"/>
    </x:row>
    <x:row r="465">
      <x:c r="A465" s="34" t="str">
        <x:f>IF(C465="","","SRC-"&amp;TEXT(ROW()-1,"000"))</x:f>
      </x:c>
      <x:c r="B465" s="35"/>
      <x:c r="C465" s="34"/>
      <x:c r="D465" s="34"/>
      <x:c r="E465" s="34"/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 t="str">
        <x:v>Collected</x:v>
      </x:c>
      <x:c r="P465" s="34"/>
      <x:c r="Q465" s="35"/>
      <x:c r="R465" s="35"/>
    </x:row>
    <x:row r="466">
      <x:c r="A466" s="34" t="str">
        <x:f>IF(C466="","","SRC-"&amp;TEXT(ROW()-1,"000"))</x:f>
      </x:c>
      <x:c r="B466" s="35"/>
      <x:c r="C466" s="34"/>
      <x:c r="D466" s="34"/>
      <x:c r="E466" s="34"/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 t="str">
        <x:v>Collected</x:v>
      </x:c>
      <x:c r="P466" s="34"/>
      <x:c r="Q466" s="35"/>
      <x:c r="R466" s="35"/>
    </x:row>
    <x:row r="467">
      <x:c r="A467" s="34" t="str">
        <x:f>IF(C467="","","SRC-"&amp;TEXT(ROW()-1,"000"))</x:f>
      </x:c>
      <x:c r="B467" s="35"/>
      <x:c r="C467" s="34"/>
      <x:c r="D467" s="34"/>
      <x:c r="E467" s="34"/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 t="str">
        <x:v>Collected</x:v>
      </x:c>
      <x:c r="P467" s="34"/>
      <x:c r="Q467" s="35"/>
      <x:c r="R467" s="35"/>
    </x:row>
    <x:row r="468">
      <x:c r="A468" s="34" t="str">
        <x:f>IF(C468="","","SRC-"&amp;TEXT(ROW()-1,"000"))</x:f>
      </x:c>
      <x:c r="B468" s="35"/>
      <x:c r="C468" s="34"/>
      <x:c r="D468" s="34"/>
      <x:c r="E468" s="34"/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 t="str">
        <x:v>Collected</x:v>
      </x:c>
      <x:c r="P468" s="34"/>
      <x:c r="Q468" s="35"/>
      <x:c r="R468" s="35"/>
    </x:row>
    <x:row r="469">
      <x:c r="A469" s="34" t="str">
        <x:f>IF(C469="","","SRC-"&amp;TEXT(ROW()-1,"000"))</x:f>
      </x:c>
      <x:c r="B469" s="35"/>
      <x:c r="C469" s="34"/>
      <x:c r="D469" s="34"/>
      <x:c r="E469" s="34"/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 t="str">
        <x:v>Collected</x:v>
      </x:c>
      <x:c r="P469" s="34"/>
      <x:c r="Q469" s="35"/>
      <x:c r="R469" s="35"/>
    </x:row>
    <x:row r="470">
      <x:c r="A470" s="34" t="str">
        <x:f>IF(C470="","","SRC-"&amp;TEXT(ROW()-1,"000"))</x:f>
      </x:c>
      <x:c r="B470" s="35"/>
      <x:c r="C470" s="34"/>
      <x:c r="D470" s="34"/>
      <x:c r="E470" s="34"/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 t="str">
        <x:v>Collected</x:v>
      </x:c>
      <x:c r="P470" s="34"/>
      <x:c r="Q470" s="35"/>
      <x:c r="R470" s="35"/>
    </x:row>
    <x:row r="471">
      <x:c r="A471" s="34" t="str">
        <x:f>IF(C471="","","SRC-"&amp;TEXT(ROW()-1,"000"))</x:f>
      </x:c>
      <x:c r="B471" s="35"/>
      <x:c r="C471" s="34"/>
      <x:c r="D471" s="34"/>
      <x:c r="E471" s="34"/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 t="str">
        <x:v>Collected</x:v>
      </x:c>
      <x:c r="P471" s="34"/>
      <x:c r="Q471" s="35"/>
      <x:c r="R471" s="35"/>
    </x:row>
    <x:row r="472">
      <x:c r="A472" s="34" t="str">
        <x:f>IF(C472="","","SRC-"&amp;TEXT(ROW()-1,"000"))</x:f>
      </x:c>
      <x:c r="B472" s="35"/>
      <x:c r="C472" s="34"/>
      <x:c r="D472" s="34"/>
      <x:c r="E472" s="34"/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 t="str">
        <x:v>Collected</x:v>
      </x:c>
      <x:c r="P472" s="34"/>
      <x:c r="Q472" s="35"/>
      <x:c r="R472" s="35"/>
    </x:row>
    <x:row r="473">
      <x:c r="A473" s="34" t="str">
        <x:f>IF(C473="","","SRC-"&amp;TEXT(ROW()-1,"000"))</x:f>
      </x:c>
      <x:c r="B473" s="35"/>
      <x:c r="C473" s="34"/>
      <x:c r="D473" s="34"/>
      <x:c r="E473" s="34"/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 t="str">
        <x:v>Collected</x:v>
      </x:c>
      <x:c r="P473" s="34"/>
      <x:c r="Q473" s="35"/>
      <x:c r="R473" s="35"/>
    </x:row>
    <x:row r="474">
      <x:c r="A474" s="34" t="str">
        <x:f>IF(C474="","","SRC-"&amp;TEXT(ROW()-1,"000"))</x:f>
      </x:c>
      <x:c r="B474" s="35"/>
      <x:c r="C474" s="34"/>
      <x:c r="D474" s="34"/>
      <x:c r="E474" s="34"/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 t="str">
        <x:v>Collected</x:v>
      </x:c>
      <x:c r="P474" s="34"/>
      <x:c r="Q474" s="35"/>
      <x:c r="R474" s="35"/>
    </x:row>
    <x:row r="475">
      <x:c r="A475" s="34" t="str">
        <x:f>IF(C475="","","SRC-"&amp;TEXT(ROW()-1,"000"))</x:f>
      </x:c>
      <x:c r="B475" s="35"/>
      <x:c r="C475" s="34"/>
      <x:c r="D475" s="34"/>
      <x:c r="E475" s="34"/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 t="str">
        <x:v>Collected</x:v>
      </x:c>
      <x:c r="P475" s="34"/>
      <x:c r="Q475" s="35"/>
      <x:c r="R475" s="35"/>
    </x:row>
    <x:row r="476">
      <x:c r="A476" s="34" t="str">
        <x:f>IF(C476="","","SRC-"&amp;TEXT(ROW()-1,"000"))</x:f>
      </x:c>
      <x:c r="B476" s="35"/>
      <x:c r="C476" s="34"/>
      <x:c r="D476" s="34"/>
      <x:c r="E476" s="34"/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 t="str">
        <x:v>Collected</x:v>
      </x:c>
      <x:c r="P476" s="34"/>
      <x:c r="Q476" s="35"/>
      <x:c r="R476" s="35"/>
    </x:row>
    <x:row r="477">
      <x:c r="A477" s="34" t="str">
        <x:f>IF(C477="","","SRC-"&amp;TEXT(ROW()-1,"000"))</x:f>
      </x:c>
      <x:c r="B477" s="35"/>
      <x:c r="C477" s="34"/>
      <x:c r="D477" s="34"/>
      <x:c r="E477" s="34"/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 t="str">
        <x:v>Collected</x:v>
      </x:c>
      <x:c r="P477" s="34"/>
      <x:c r="Q477" s="35"/>
      <x:c r="R477" s="35"/>
    </x:row>
    <x:row r="478">
      <x:c r="A478" s="34" t="str">
        <x:f>IF(C478="","","SRC-"&amp;TEXT(ROW()-1,"000"))</x:f>
      </x:c>
      <x:c r="B478" s="35"/>
      <x:c r="C478" s="34"/>
      <x:c r="D478" s="34"/>
      <x:c r="E478" s="34"/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 t="str">
        <x:v>Collected</x:v>
      </x:c>
      <x:c r="P478" s="34"/>
      <x:c r="Q478" s="35"/>
      <x:c r="R478" s="35"/>
    </x:row>
    <x:row r="479">
      <x:c r="A479" s="34" t="str">
        <x:f>IF(C479="","","SRC-"&amp;TEXT(ROW()-1,"000"))</x:f>
      </x:c>
      <x:c r="B479" s="35"/>
      <x:c r="C479" s="34"/>
      <x:c r="D479" s="34"/>
      <x:c r="E479" s="34"/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 t="str">
        <x:v>Collected</x:v>
      </x:c>
      <x:c r="P479" s="34"/>
      <x:c r="Q479" s="35"/>
      <x:c r="R479" s="35"/>
    </x:row>
    <x:row r="480">
      <x:c r="A480" s="34" t="str">
        <x:f>IF(C480="","","SRC-"&amp;TEXT(ROW()-1,"000"))</x:f>
      </x:c>
      <x:c r="B480" s="35"/>
      <x:c r="C480" s="34"/>
      <x:c r="D480" s="34"/>
      <x:c r="E480" s="34"/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 t="str">
        <x:v>Collected</x:v>
      </x:c>
      <x:c r="P480" s="34"/>
      <x:c r="Q480" s="35"/>
      <x:c r="R480" s="35"/>
    </x:row>
    <x:row r="481">
      <x:c r="A481" s="34" t="str">
        <x:f>IF(C481="","","SRC-"&amp;TEXT(ROW()-1,"000"))</x:f>
      </x:c>
      <x:c r="B481" s="35"/>
      <x:c r="C481" s="34"/>
      <x:c r="D481" s="34"/>
      <x:c r="E481" s="34"/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 t="str">
        <x:v>Collected</x:v>
      </x:c>
      <x:c r="P481" s="34"/>
      <x:c r="Q481" s="35"/>
      <x:c r="R481" s="35"/>
    </x:row>
    <x:row r="482">
      <x:c r="A482" s="34" t="str">
        <x:f>IF(C482="","","SRC-"&amp;TEXT(ROW()-1,"000"))</x:f>
      </x:c>
      <x:c r="B482" s="35"/>
      <x:c r="C482" s="34"/>
      <x:c r="D482" s="34"/>
      <x:c r="E482" s="34"/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 t="str">
        <x:v>Collected</x:v>
      </x:c>
      <x:c r="P482" s="34"/>
      <x:c r="Q482" s="35"/>
      <x:c r="R482" s="35"/>
    </x:row>
    <x:row r="483">
      <x:c r="A483" s="34" t="str">
        <x:f>IF(C483="","","SRC-"&amp;TEXT(ROW()-1,"000"))</x:f>
      </x:c>
      <x:c r="B483" s="35"/>
      <x:c r="C483" s="34"/>
      <x:c r="D483" s="34"/>
      <x:c r="E483" s="34"/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 t="str">
        <x:v>Collected</x:v>
      </x:c>
      <x:c r="P483" s="34"/>
      <x:c r="Q483" s="35"/>
      <x:c r="R483" s="35"/>
    </x:row>
    <x:row r="484">
      <x:c r="A484" s="34" t="str">
        <x:f>IF(C484="","","SRC-"&amp;TEXT(ROW()-1,"000"))</x:f>
      </x:c>
      <x:c r="B484" s="35"/>
      <x:c r="C484" s="34"/>
      <x:c r="D484" s="34"/>
      <x:c r="E484" s="34"/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 t="str">
        <x:v>Collected</x:v>
      </x:c>
      <x:c r="P484" s="34"/>
      <x:c r="Q484" s="35"/>
      <x:c r="R484" s="35"/>
    </x:row>
    <x:row r="485">
      <x:c r="A485" s="34" t="str">
        <x:f>IF(C485="","","SRC-"&amp;TEXT(ROW()-1,"000"))</x:f>
      </x:c>
      <x:c r="B485" s="35"/>
      <x:c r="C485" s="34"/>
      <x:c r="D485" s="34"/>
      <x:c r="E485" s="34"/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 t="str">
        <x:v>Collected</x:v>
      </x:c>
      <x:c r="P485" s="34"/>
      <x:c r="Q485" s="35"/>
      <x:c r="R485" s="35"/>
    </x:row>
    <x:row r="486">
      <x:c r="A486" s="34" t="str">
        <x:f>IF(C486="","","SRC-"&amp;TEXT(ROW()-1,"000"))</x:f>
      </x:c>
      <x:c r="B486" s="35"/>
      <x:c r="C486" s="34"/>
      <x:c r="D486" s="34"/>
      <x:c r="E486" s="34"/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 t="str">
        <x:v>Collected</x:v>
      </x:c>
      <x:c r="P486" s="34"/>
      <x:c r="Q486" s="35"/>
      <x:c r="R486" s="35"/>
    </x:row>
    <x:row r="487">
      <x:c r="A487" s="34" t="str">
        <x:f>IF(C487="","","SRC-"&amp;TEXT(ROW()-1,"000"))</x:f>
      </x:c>
      <x:c r="B487" s="35"/>
      <x:c r="C487" s="34"/>
      <x:c r="D487" s="34"/>
      <x:c r="E487" s="34"/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 t="str">
        <x:v>Collected</x:v>
      </x:c>
      <x:c r="P487" s="34"/>
      <x:c r="Q487" s="35"/>
      <x:c r="R487" s="35"/>
    </x:row>
    <x:row r="488">
      <x:c r="A488" s="34" t="str">
        <x:f>IF(C488="","","SRC-"&amp;TEXT(ROW()-1,"000"))</x:f>
      </x:c>
      <x:c r="B488" s="35"/>
      <x:c r="C488" s="34"/>
      <x:c r="D488" s="34"/>
      <x:c r="E488" s="34"/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 t="str">
        <x:v>Collected</x:v>
      </x:c>
      <x:c r="P488" s="34"/>
      <x:c r="Q488" s="35"/>
      <x:c r="R488" s="35"/>
    </x:row>
    <x:row r="489">
      <x:c r="A489" s="34" t="str">
        <x:f>IF(C489="","","SRC-"&amp;TEXT(ROW()-1,"000"))</x:f>
      </x:c>
      <x:c r="B489" s="35"/>
      <x:c r="C489" s="34"/>
      <x:c r="D489" s="34"/>
      <x:c r="E489" s="34"/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 t="str">
        <x:v>Collected</x:v>
      </x:c>
      <x:c r="P489" s="34"/>
      <x:c r="Q489" s="35"/>
      <x:c r="R489" s="35"/>
    </x:row>
    <x:row r="490">
      <x:c r="A490" s="34" t="str">
        <x:f>IF(C490="","","SRC-"&amp;TEXT(ROW()-1,"000"))</x:f>
      </x:c>
      <x:c r="B490" s="35"/>
      <x:c r="C490" s="34"/>
      <x:c r="D490" s="34"/>
      <x:c r="E490" s="34"/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 t="str">
        <x:v>Collected</x:v>
      </x:c>
      <x:c r="P490" s="34"/>
      <x:c r="Q490" s="35"/>
      <x:c r="R490" s="35"/>
    </x:row>
    <x:row r="491">
      <x:c r="A491" s="34" t="str">
        <x:f>IF(C491="","","SRC-"&amp;TEXT(ROW()-1,"000"))</x:f>
      </x:c>
      <x:c r="B491" s="35"/>
      <x:c r="C491" s="34"/>
      <x:c r="D491" s="34"/>
      <x:c r="E491" s="34"/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 t="str">
        <x:v>Collected</x:v>
      </x:c>
      <x:c r="P491" s="34"/>
      <x:c r="Q491" s="35"/>
      <x:c r="R491" s="35"/>
    </x:row>
    <x:row r="492">
      <x:c r="A492" s="34" t="str">
        <x:f>IF(C492="","","SRC-"&amp;TEXT(ROW()-1,"000"))</x:f>
      </x:c>
      <x:c r="B492" s="35"/>
      <x:c r="C492" s="34"/>
      <x:c r="D492" s="34"/>
      <x:c r="E492" s="34"/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 t="str">
        <x:v>Collected</x:v>
      </x:c>
      <x:c r="P492" s="34"/>
      <x:c r="Q492" s="35"/>
      <x:c r="R492" s="35"/>
    </x:row>
    <x:row r="493">
      <x:c r="A493" s="34" t="str">
        <x:f>IF(C493="","","SRC-"&amp;TEXT(ROW()-1,"000"))</x:f>
      </x:c>
      <x:c r="B493" s="35"/>
      <x:c r="C493" s="34"/>
      <x:c r="D493" s="34"/>
      <x:c r="E493" s="34"/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 t="str">
        <x:v>Collected</x:v>
      </x:c>
      <x:c r="P493" s="34"/>
      <x:c r="Q493" s="35"/>
      <x:c r="R493" s="35"/>
    </x:row>
    <x:row r="494">
      <x:c r="A494" s="34" t="str">
        <x:f>IF(C494="","","SRC-"&amp;TEXT(ROW()-1,"000"))</x:f>
      </x:c>
      <x:c r="B494" s="35"/>
      <x:c r="C494" s="34"/>
      <x:c r="D494" s="34"/>
      <x:c r="E494" s="34"/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 t="str">
        <x:v>Collected</x:v>
      </x:c>
      <x:c r="P494" s="34"/>
      <x:c r="Q494" s="35"/>
      <x:c r="R494" s="35"/>
    </x:row>
    <x:row r="495">
      <x:c r="A495" s="34" t="str">
        <x:f>IF(C495="","","SRC-"&amp;TEXT(ROW()-1,"000"))</x:f>
      </x:c>
      <x:c r="B495" s="35"/>
      <x:c r="C495" s="34"/>
      <x:c r="D495" s="34"/>
      <x:c r="E495" s="34"/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 t="str">
        <x:v>Collected</x:v>
      </x:c>
      <x:c r="P495" s="34"/>
      <x:c r="Q495" s="35"/>
      <x:c r="R495" s="35"/>
    </x:row>
    <x:row r="496">
      <x:c r="A496" s="34" t="str">
        <x:f>IF(C496="","","SRC-"&amp;TEXT(ROW()-1,"000"))</x:f>
      </x:c>
      <x:c r="B496" s="35"/>
      <x:c r="C496" s="34"/>
      <x:c r="D496" s="34"/>
      <x:c r="E496" s="34"/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 t="str">
        <x:v>Collected</x:v>
      </x:c>
      <x:c r="P496" s="34"/>
      <x:c r="Q496" s="35"/>
      <x:c r="R496" s="35"/>
    </x:row>
    <x:row r="497">
      <x:c r="A497" s="34" t="str">
        <x:f>IF(C497="","","SRC-"&amp;TEXT(ROW()-1,"000"))</x:f>
      </x:c>
      <x:c r="B497" s="35"/>
      <x:c r="C497" s="34"/>
      <x:c r="D497" s="34"/>
      <x:c r="E497" s="34"/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 t="str">
        <x:v>Collected</x:v>
      </x:c>
      <x:c r="P497" s="34"/>
      <x:c r="Q497" s="35"/>
      <x:c r="R497" s="35"/>
    </x:row>
    <x:row r="498">
      <x:c r="A498" s="34" t="str">
        <x:f>IF(C498="","","SRC-"&amp;TEXT(ROW()-1,"000"))</x:f>
      </x:c>
      <x:c r="B498" s="35"/>
      <x:c r="C498" s="34"/>
      <x:c r="D498" s="34"/>
      <x:c r="E498" s="34"/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 t="str">
        <x:v>Collected</x:v>
      </x:c>
      <x:c r="P498" s="34"/>
      <x:c r="Q498" s="35"/>
      <x:c r="R498" s="35"/>
    </x:row>
    <x:row r="499">
      <x:c r="A499" s="34" t="str">
        <x:f>IF(C499="","","SRC-"&amp;TEXT(ROW()-1,"000"))</x:f>
      </x:c>
      <x:c r="B499" s="35"/>
      <x:c r="C499" s="34"/>
      <x:c r="D499" s="34"/>
      <x:c r="E499" s="34"/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 t="str">
        <x:v>Collected</x:v>
      </x:c>
      <x:c r="P499" s="34"/>
      <x:c r="Q499" s="35"/>
      <x:c r="R499" s="35"/>
    </x:row>
    <x:row r="500">
      <x:c r="A500" s="34" t="str">
        <x:f>IF(C500="","","SRC-"&amp;TEXT(ROW()-1,"000"))</x:f>
      </x:c>
      <x:c r="B500" s="35"/>
      <x:c r="C500" s="34"/>
      <x:c r="D500" s="34"/>
      <x:c r="E500" s="34"/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 t="str">
        <x:v>Collected</x:v>
      </x:c>
      <x:c r="P500" s="34"/>
      <x:c r="Q500" s="35"/>
      <x:c r="R500" s="35"/>
    </x:row>
    <x:row r="501">
      <x:c r="A501" s="34" t="str">
        <x:f>IF(C501="","","SRC-"&amp;TEXT(ROW()-1,"000"))</x:f>
      </x:c>
      <x:c r="B501" s="35"/>
      <x:c r="C501" s="34"/>
      <x:c r="D501" s="34"/>
      <x:c r="E501" s="34"/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 t="str">
        <x:v>Collected</x:v>
      </x:c>
      <x:c r="P501" s="34"/>
      <x:c r="Q501" s="35"/>
      <x:c r="R501" s="35"/>
    </x:row>
  </x:sheetData>
  <x:conditionalFormatting sqref="O2:O501">
    <x:cfRule type="expression" dxfId="0" priority="1">
      <x:formula>O2="Collected"</x:formula>
    </x:cfRule>
    <x:cfRule type="expression" dxfId="1" priority="2">
      <x:formula>O2="Reviewed"</x:formula>
    </x:cfRule>
    <x:cfRule type="expression" dxfId="2" priority="3">
      <x:formula>O2="Cited"</x:formula>
    </x:cfRule>
    <x:cfRule type="expression" dxfId="3" priority="4">
      <x:formula>O2="Excluded"</x:formula>
    </x:cfRule>
  </x:conditionalFormatting>
  <x:conditionalFormatting sqref="N2:N501">
    <x:cfRule type="expression" dxfId="4" priority="5">
      <x:formula>N2="Low"</x:formula>
    </x:cfRule>
  </x:conditionalFormatting>
  <x:dataValidations count="6">
    <x:dataValidation type="list" sqref="E2:E501">
      <x:formula1>"Federal court document,DOJ / U.S. Attorney release,FBI resource,Government report,Peer-reviewed research,NGO / hotline report,Investigative journalism,Other"</x:formula1>
    </x:dataValidation>
    <x:dataValidation type="list" sqref="G2:G501">
      <x:formula1>"Sex trafficking,Labor trafficking,Both / mixed,Unspecified"</x:formula1>
    </x:dataValidation>
    <x:dataValidation type="list" sqref="H2:H501">
      <x:formula1>"Recruitment,Grooming / coercion,Advertising,Payments / finance,Transportation,Digital evidence,Employment scams,Law enforcement,Victim services"</x:formula1>
    </x:dataValidation>
    <x:dataValidation type="list" sqref="K2:K501">
      <x:formula1>"Allegation / complaint,Indictment / charges,Plea,Conviction,Sentencing,Research / non-case"</x:formula1>
    </x:dataValidation>
    <x:dataValidation type="list" sqref="N2:N501">
      <x:formula1>"High,Moderate,Low"</x:formula1>
    </x:dataValidation>
    <x:dataValidation type="list" sqref="O2:O501">
      <x:formula1>"Collected,Reviewed,Cited,Excluded"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e51229dfed4fc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6" hidden="0" customWidth="1"/>
    <x:col min="3" max="3" width="68" hidden="0" customWidth="1"/>
  </x:cols>
  <x:sheetData>
    <x:row r="1">
      <x:c r="A1" s="24" t="str">
        <x:v>Field</x:v>
      </x:c>
      <x:c r="B1" s="24" t="str">
        <x:v>Allowed value</x:v>
      </x:c>
      <x:c r="C1" s="24" t="str">
        <x:v>Definition / use</x:v>
      </x:c>
    </x:row>
    <x:row r="2">
      <x:c r="A2" s="19" t="str">
        <x:v>Source Type</x:v>
      </x:c>
      <x:c r="B2" s="19" t="str">
        <x:v>Federal court document</x:v>
      </x:c>
      <x:c r="C2" s="19" t="str">
        <x:v>Complaint, indictment, plea, sentencing memorandum, or judgment.</x:v>
      </x:c>
    </x:row>
    <x:row r="3">
      <x:c r="A3" s="19" t="str">
        <x:v>Source Type</x:v>
      </x:c>
      <x:c r="B3" s="19" t="str">
        <x:v>DOJ / U.S. Attorney release</x:v>
      </x:c>
      <x:c r="C3" s="19" t="str">
        <x:v>Official federal prosecution or enforcement announcement.</x:v>
      </x:c>
    </x:row>
    <x:row r="4">
      <x:c r="A4" s="19" t="str">
        <x:v>Source Type</x:v>
      </x:c>
      <x:c r="B4" s="19" t="str">
        <x:v>FBI resource</x:v>
      </x:c>
      <x:c r="C4" s="19" t="str">
        <x:v>Official FBI report, page, testimony, or publication.</x:v>
      </x:c>
    </x:row>
    <x:row r="5">
      <x:c r="A5" s="19" t="str">
        <x:v>Source Type</x:v>
      </x:c>
      <x:c r="B5" s="19" t="str">
        <x:v>Government report</x:v>
      </x:c>
      <x:c r="C5" s="19" t="str">
        <x:v>Federal, state, local, or inspector general report.</x:v>
      </x:c>
    </x:row>
    <x:row r="6">
      <x:c r="A6" s="19" t="str">
        <x:v>Source Type</x:v>
      </x:c>
      <x:c r="B6" s="19" t="str">
        <x:v>Peer-reviewed research</x:v>
      </x:c>
      <x:c r="C6" s="19" t="str">
        <x:v>Academic journal article or reviewed scholarly paper.</x:v>
      </x:c>
    </x:row>
    <x:row r="7">
      <x:c r="A7" s="19" t="str">
        <x:v>Source Type</x:v>
      </x:c>
      <x:c r="B7" s="19" t="str">
        <x:v>NGO / hotline report</x:v>
      </x:c>
      <x:c r="C7" s="19" t="str">
        <x:v>Nonprofit, hotline, or victim-services publication.</x:v>
      </x:c>
    </x:row>
    <x:row r="8">
      <x:c r="A8" s="19" t="str">
        <x:v>Source Type</x:v>
      </x:c>
      <x:c r="B8" s="19" t="str">
        <x:v>Investigative journalism</x:v>
      </x:c>
      <x:c r="C8" s="19" t="str">
        <x:v>Reported work from a reputable newsroom.</x:v>
      </x:c>
    </x:row>
    <x:row r="9">
      <x:c r="A9" s="19" t="str">
        <x:v>Source Type</x:v>
      </x:c>
      <x:c r="B9" s="19" t="str">
        <x:v>Other</x:v>
      </x:c>
      <x:c r="C9" s="19" t="str">
        <x:v>Use sparingly and explain in Evidence Notes.</x:v>
      </x:c>
    </x:row>
    <x:row r="10">
      <x:c r="A10" s="19" t="str">
        <x:v>Trafficking Type</x:v>
      </x:c>
      <x:c r="B10" s="19" t="str">
        <x:v>Sex trafficking</x:v>
      </x:c>
      <x:c r="C10" s="19" t="str">
        <x:v>Public source explicitly identifies sex trafficking.</x:v>
      </x:c>
    </x:row>
    <x:row r="11">
      <x:c r="A11" s="19" t="str">
        <x:v>Trafficking Type</x:v>
      </x:c>
      <x:c r="B11" s="19" t="str">
        <x:v>Labor trafficking</x:v>
      </x:c>
      <x:c r="C11" s="19" t="str">
        <x:v>Public source explicitly identifies labor trafficking.</x:v>
      </x:c>
    </x:row>
    <x:row r="12">
      <x:c r="A12" s="19" t="str">
        <x:v>Trafficking Type</x:v>
      </x:c>
      <x:c r="B12" s="19" t="str">
        <x:v>Both / mixed</x:v>
      </x:c>
      <x:c r="C12" s="19" t="str">
        <x:v>Source addresses both or a mixed scheme.</x:v>
      </x:c>
    </x:row>
    <x:row r="13">
      <x:c r="A13" s="19" t="str">
        <x:v>Trafficking Type</x:v>
      </x:c>
      <x:c r="B13" s="19" t="str">
        <x:v>Unspecified</x:v>
      </x:c>
      <x:c r="C13" s="19" t="str">
        <x:v>Source does not clearly identify the type.</x:v>
      </x:c>
    </x:row>
    <x:row r="14">
      <x:c r="A14" s="19" t="str">
        <x:v>Topic</x:v>
      </x:c>
      <x:c r="B14" s="19" t="str">
        <x:v>Recruitment</x:v>
      </x:c>
      <x:c r="C14" s="19" t="str">
        <x:v>How targets or victims are identified or approached.</x:v>
      </x:c>
    </x:row>
    <x:row r="15">
      <x:c r="A15" s="19" t="str">
        <x:v>Topic</x:v>
      </x:c>
      <x:c r="B15" s="19" t="str">
        <x:v>Grooming / coercion</x:v>
      </x:c>
      <x:c r="C15" s="19" t="str">
        <x:v>Relationship-building, threats, manipulation, or control.</x:v>
      </x:c>
    </x:row>
    <x:row r="16">
      <x:c r="A16" s="19" t="str">
        <x:v>Topic</x:v>
      </x:c>
      <x:c r="B16" s="19" t="str">
        <x:v>Advertising</x:v>
      </x:c>
      <x:c r="C16" s="19" t="str">
        <x:v>Online ads or commercial promotion of exploitation.</x:v>
      </x:c>
    </x:row>
    <x:row r="17">
      <x:c r="A17" s="19" t="str">
        <x:v>Topic</x:v>
      </x:c>
      <x:c r="B17" s="19" t="str">
        <x:v>Payments / finance</x:v>
      </x:c>
      <x:c r="C17" s="19" t="str">
        <x:v>Payment methods, financial flows, or money movement.</x:v>
      </x:c>
    </x:row>
    <x:row r="18">
      <x:c r="A18" s="19" t="str">
        <x:v>Topic</x:v>
      </x:c>
      <x:c r="B18" s="19" t="str">
        <x:v>Transportation</x:v>
      </x:c>
      <x:c r="C18" s="19" t="str">
        <x:v>Movement, travel, or logistics.</x:v>
      </x:c>
    </x:row>
    <x:row r="19">
      <x:c r="A19" s="19" t="str">
        <x:v>Topic</x:v>
      </x:c>
      <x:c r="B19" s="19" t="str">
        <x:v>Digital evidence</x:v>
      </x:c>
      <x:c r="C19" s="19" t="str">
        <x:v>Devices, accounts, metadata, or other investigative traces.</x:v>
      </x:c>
    </x:row>
    <x:row r="20">
      <x:c r="A20" s="19" t="str">
        <x:v>Topic</x:v>
      </x:c>
      <x:c r="B20" s="19" t="str">
        <x:v>Employment scams</x:v>
      </x:c>
      <x:c r="C20" s="19" t="str">
        <x:v>Fraudulent or deceptive job recruitment.</x:v>
      </x:c>
    </x:row>
    <x:row r="21">
      <x:c r="A21" s="19" t="str">
        <x:v>Topic</x:v>
      </x:c>
      <x:c r="B21" s="19" t="str">
        <x:v>Law enforcement</x:v>
      </x:c>
      <x:c r="C21" s="19" t="str">
        <x:v>Investigative or enforcement methods and implications.</x:v>
      </x:c>
    </x:row>
    <x:row r="22">
      <x:c r="A22" s="19" t="str">
        <x:v>Topic</x:v>
      </x:c>
      <x:c r="B22" s="19" t="str">
        <x:v>Victim services</x:v>
      </x:c>
      <x:c r="C22" s="19" t="str">
        <x:v>Identification, support, recovery, or service access.</x:v>
      </x:c>
    </x:row>
    <x:row r="23">
      <x:c r="A23" s="19" t="str">
        <x:v>Investigation Stage</x:v>
      </x:c>
      <x:c r="B23" s="19" t="str">
        <x:v>Allegation / complaint</x:v>
      </x:c>
      <x:c r="C23" s="19" t="str">
        <x:v>Allegations filed; not yet adjudicated.</x:v>
      </x:c>
    </x:row>
    <x:row r="24">
      <x:c r="A24" s="19" t="str">
        <x:v>Investigation Stage</x:v>
      </x:c>
      <x:c r="B24" s="19" t="str">
        <x:v>Indictment / charges</x:v>
      </x:c>
      <x:c r="C24" s="19" t="str">
        <x:v>Criminal charges announced or unsealed.</x:v>
      </x:c>
    </x:row>
    <x:row r="25">
      <x:c r="A25" s="19" t="str">
        <x:v>Investigation Stage</x:v>
      </x:c>
      <x:c r="B25" s="19" t="str">
        <x:v>Plea</x:v>
      </x:c>
      <x:c r="C25" s="19" t="str">
        <x:v>Defendant entered a guilty plea.</x:v>
      </x:c>
    </x:row>
    <x:row r="26">
      <x:c r="A26" s="19" t="str">
        <x:v>Investigation Stage</x:v>
      </x:c>
      <x:c r="B26" s="19" t="str">
        <x:v>Conviction</x:v>
      </x:c>
      <x:c r="C26" s="19" t="str">
        <x:v>Conviction after trial or adjudication.</x:v>
      </x:c>
    </x:row>
    <x:row r="27">
      <x:c r="A27" s="19" t="str">
        <x:v>Investigation Stage</x:v>
      </x:c>
      <x:c r="B27" s="19" t="str">
        <x:v>Sentencing</x:v>
      </x:c>
      <x:c r="C27" s="19" t="str">
        <x:v>Sentence imposed.</x:v>
      </x:c>
    </x:row>
    <x:row r="28">
      <x:c r="A28" s="19" t="str">
        <x:v>Investigation Stage</x:v>
      </x:c>
      <x:c r="B28" s="19" t="str">
        <x:v>Research / non-case</x:v>
      </x:c>
      <x:c r="C28" s="19" t="str">
        <x:v>Source is analytical rather than a prosecution.</x:v>
      </x:c>
    </x:row>
    <x:row r="29">
      <x:c r="A29" s="19" t="str">
        <x:v>Confidence</x:v>
      </x:c>
      <x:c r="B29" s="19" t="str">
        <x:v>High</x:v>
      </x:c>
      <x:c r="C29" s="19" t="str">
        <x:v>Direct, specific evidence from a strong primary source or well-supported research.</x:v>
      </x:c>
    </x:row>
    <x:row r="30">
      <x:c r="A30" s="19" t="str">
        <x:v>Confidence</x:v>
      </x:c>
      <x:c r="B30" s="19" t="str">
        <x:v>Moderate</x:v>
      </x:c>
      <x:c r="C30" s="19" t="str">
        <x:v>Credible evidence with some ambiguity, limitation, or indirectness.</x:v>
      </x:c>
    </x:row>
    <x:row r="31">
      <x:c r="A31" s="19" t="str">
        <x:v>Confidence</x:v>
      </x:c>
      <x:c r="B31" s="19" t="str">
        <x:v>Low</x:v>
      </x:c>
      <x:c r="C31" s="19" t="str">
        <x:v>Limited, unclear, or weakly corroborated evidence; use cautiously.</x:v>
      </x:c>
    </x:row>
    <x:row r="32">
      <x:c r="A32" s="19" t="str">
        <x:v>Review Status</x:v>
      </x:c>
      <x:c r="B32" s="19" t="str">
        <x:v>Collected</x:v>
      </x:c>
      <x:c r="C32" s="19" t="str">
        <x:v>Logged but not yet reviewed.</x:v>
      </x:c>
    </x:row>
    <x:row r="33">
      <x:c r="A33" s="19" t="str">
        <x:v>Review Status</x:v>
      </x:c>
      <x:c r="B33" s="19" t="str">
        <x:v>Reviewed</x:v>
      </x:c>
      <x:c r="C33" s="19" t="str">
        <x:v>Read and coded.</x:v>
      </x:c>
    </x:row>
    <x:row r="34">
      <x:c r="A34" s="19" t="str">
        <x:v>Review Status</x:v>
      </x:c>
      <x:c r="B34" s="19" t="str">
        <x:v>Cited</x:v>
      </x:c>
      <x:c r="C34" s="19" t="str">
        <x:v>Used in a draft or published product.</x:v>
      </x:c>
    </x:row>
    <x:row r="35">
      <x:c r="A35" s="19" t="str">
        <x:v>Review Status</x:v>
      </x:c>
      <x:c r="B35" s="19" t="str">
        <x:v>Excluded</x:v>
      </x:c>
      <x:c r="C35" s="19" t="str">
        <x:v>Reviewed but excluded; explain why in Evidence Notes.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4" hidden="0" customWidth="1"/>
    <x:col min="4" max="4" width="32" hidden="0" customWidth="1"/>
    <x:col min="5" max="5" width="12" hidden="0" customWidth="1"/>
  </x:cols>
  <x:sheetData>
    <x:row r="1" ht="34" customHeight="1">
      <x:c r="A1" s="3" t="str">
        <x:v>SA-2026-001 Research Status</x:v>
      </x:c>
    </x:row>
    <x:row r="3">
      <x:c r="A3" s="15" t="str">
        <x:v>Metric</x:v>
      </x:c>
      <x:c r="B3" s="15" t="str">
        <x:v>Count</x:v>
      </x:c>
      <x:c r="D3" s="15" t="str">
        <x:v>Source Type</x:v>
      </x:c>
      <x:c r="E3" s="15" t="str">
        <x:v>Count</x:v>
      </x:c>
    </x:row>
    <x:row r="4">
      <x:c r="A4" s="50" t="str">
        <x:v>Sources logged</x:v>
      </x:c>
      <x:c r="B4" s="50" t="n">
        <x:f>COUNTIF('Evidence Log'!$C$2:$C$501,"&lt;&gt;")</x:f>
        <x:v>0</x:v>
      </x:c>
      <x:c r="D4" s="50" t="str">
        <x:v>Federal court document</x:v>
      </x:c>
      <x:c r="E4" s="50" t="n">
        <x:f>COUNTIF('Evidence Log'!$E$2:$E$501,D4)</x:f>
        <x:v>0</x:v>
      </x:c>
    </x:row>
    <x:row r="5">
      <x:c r="A5" s="50" t="str">
        <x:v>Sources reviewed</x:v>
      </x:c>
      <x:c r="B5" s="50" t="n">
        <x:f>COUNTIF('Evidence Log'!$O$2:$O$501,"Reviewed")</x:f>
        <x:v>0</x:v>
      </x:c>
      <x:c r="D5" s="50" t="str">
        <x:v>DOJ / U.S. Attorney release</x:v>
      </x:c>
      <x:c r="E5" s="50" t="n">
        <x:f>COUNTIF('Evidence Log'!$E$2:$E$501,D5)</x:f>
        <x:v>0</x:v>
      </x:c>
    </x:row>
    <x:row r="6">
      <x:c r="A6" s="50" t="str">
        <x:v>Sources cited</x:v>
      </x:c>
      <x:c r="B6" s="50" t="n">
        <x:f>COUNTIF('Evidence Log'!$O$2:$O$501,"Cited")</x:f>
        <x:v>0</x:v>
      </x:c>
      <x:c r="D6" s="50" t="str">
        <x:v>FBI resource</x:v>
      </x:c>
      <x:c r="E6" s="50" t="n">
        <x:f>COUNTIF('Evidence Log'!$E$2:$E$501,D6)</x:f>
        <x:v>0</x:v>
      </x:c>
    </x:row>
    <x:row r="7">
      <x:c r="A7" s="51" t="str">
        <x:v>Sources excluded</x:v>
      </x:c>
      <x:c r="B7" s="51" t="n">
        <x:f>COUNTIF('Evidence Log'!$O$2:$O$501,"Excluded")</x:f>
        <x:v>0</x:v>
      </x:c>
      <x:c r="D7" s="50" t="str">
        <x:v>Government report</x:v>
      </x:c>
      <x:c r="E7" s="50" t="n">
        <x:f>COUNTIF('Evidence Log'!$E$2:$E$501,D7)</x:f>
        <x:v>0</x:v>
      </x:c>
    </x:row>
    <x:row r="8">
      <x:c r="D8" s="50" t="str">
        <x:v>Peer-reviewed research</x:v>
      </x:c>
      <x:c r="E8" s="50" t="n">
        <x:f>COUNTIF('Evidence Log'!$E$2:$E$501,D8)</x:f>
        <x:v>0</x:v>
      </x:c>
    </x:row>
    <x:row r="9">
      <x:c r="D9" s="50" t="str">
        <x:v>NGO / hotline report</x:v>
      </x:c>
      <x:c r="E9" s="50" t="n">
        <x:f>COUNTIF('Evidence Log'!$E$2:$E$501,D9)</x:f>
        <x:v>0</x:v>
      </x:c>
    </x:row>
    <x:row r="10">
      <x:c r="D10" s="50" t="str">
        <x:v>Investigative journalism</x:v>
      </x:c>
      <x:c r="E10" s="50" t="n">
        <x:f>COUNTIF('Evidence Log'!$E$2:$E$501,D10)</x:f>
        <x:v>0</x:v>
      </x:c>
    </x:row>
    <x:row r="11">
      <x:c r="D11" s="51" t="str">
        <x:v>Other</x:v>
      </x:c>
      <x:c r="E11" s="51" t="n">
        <x:f>COUNTIF('Evidence Log'!$E$2:$E$501,D11)</x:f>
        <x:v>0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99730567dc8a40b0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70" hidden="0" customWidth="1"/>
  </x:cols>
  <x:sheetData>
    <x:row r="1" ht="34" customHeight="1">
      <x:c r="A1" s="5" t="str">
        <x:v>SA-2026-001 Evidence Database</x:v>
      </x:c>
    </x:row>
    <x:row r="3">
      <x:c r="A3" s="11" t="str">
        <x:v>Project: The Digital Evolution of Human Trafficking Recruitment</x:v>
      </x:c>
    </x:row>
    <x:row r="5">
      <x:c r="A5" s="18" t="str">
        <x:v>Do this first</x:v>
      </x:c>
      <x:c r="B5" s="18" t="str">
        <x:v>Instructions</x:v>
      </x:c>
    </x:row>
    <x:row r="6">
      <x:c r="A6" s="19" t="str">
        <x:v>1</x:v>
      </x:c>
      <x:c r="B6" s="19" t="str">
        <x:v>Open the Evidence Log sheet.</x:v>
      </x:c>
    </x:row>
    <x:row r="7">
      <x:c r="A7" s="19" t="str">
        <x:v>2</x:v>
      </x:c>
      <x:c r="B7" s="19" t="str">
        <x:v>For the first 30 sources, fill only: Source Date, Source Title, Publisher/Author, Source Type, URL, and PDF/File Name.</x:v>
      </x:c>
    </x:row>
    <x:row r="8">
      <x:c r="A8" s="19" t="str">
        <x:v>3</x:v>
      </x:c>
      <x:c r="B8" s="19" t="str">
        <x:v>Do not summarize sources yet. Leave the analytical fields blank until the review phase.</x:v>
      </x:c>
    </x:row>
    <x:row r="9">
      <x:c r="A9" s="19" t="str">
        <x:v>4</x:v>
      </x:c>
      <x:c r="B9" s="19" t="str">
        <x:v>Save downloaded PDFs in research/SA-2026-001-digital-evolution/sources.</x:v>
      </x:c>
    </x:row>
    <x:row r="10">
      <x:c r="A10" s="19" t="str">
        <x:v>5</x:v>
      </x:c>
      <x:c r="B10" s="19" t="str">
        <x:v>Use a consistent file name, such as DOJ-2024-001.pdf or JOURNAL-2023-001.pdf.</x:v>
      </x:c>
    </x:row>
    <x:row r="11">
      <x:c r="A11" s="19" t="str">
        <x:v>6</x:v>
      </x:c>
      <x:c r="B11" s="19" t="str">
        <x:v>Commit and push the workbook and source files through GitHub Desktop.</x:v>
      </x:c>
    </x:row>
  </x:sheetData>
  <x:mergeCells>
    <x:mergeCell ref="A1:H1"/>
    <x:mergeCell ref="A3:H3"/>
  </x:mergeCells>
  <x:pageMargins left="0.7" right="0.7" top="0.75" bottom="0.75" header="0.3" footer="0.3"/>
</x:worksheet>
</file>